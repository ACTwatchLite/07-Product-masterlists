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mc:AlternateContent xmlns:mc="http://schemas.openxmlformats.org/markup-compatibility/2006">
    <mc:Choice Requires="x15">
      <x15ac:absPath xmlns:x15ac="http://schemas.microsoft.com/office/spreadsheetml/2010/11/ac" url="https://psiorg.sharepoint.com/sites/ACTWatchLite/Shared Documents/2. Technical/0. Toolkit/ACTwatch Lite Toolkit v4/07 Product masterlists/"/>
    </mc:Choice>
  </mc:AlternateContent>
  <xr:revisionPtr revIDLastSave="300" documentId="14_{4280D16E-C014-8549-A4E0-AF2FFBAC6A35}" xr6:coauthVersionLast="47" xr6:coauthVersionMax="47" xr10:uidLastSave="{0FF2379B-89D9-8B47-BEB5-621970FF42CF}"/>
  <bookViews>
    <workbookView xWindow="1040" yWindow="500" windowWidth="27760" windowHeight="17500" xr2:uid="{00000000-000D-0000-FFFF-FFFF00000000}"/>
  </bookViews>
  <sheets>
    <sheet name="README" sheetId="23" r:id="rId1"/>
    <sheet name="codebook &amp; sources" sheetId="22" r:id="rId2"/>
    <sheet name="RDTMASTERLIST" sheetId="9" r:id="rId3"/>
    <sheet name="WHO&amp;GF" sheetId="21" state="hidden" r:id="rId4"/>
    <sheet name="odk example (old)" sheetId="2" state="hidden" r:id="rId5"/>
  </sheets>
  <definedNames>
    <definedName name="__123Graph_A" hidden="1">#REF!</definedName>
    <definedName name="__123Graph_AGRAPH1"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B" hidden="1">#REF!</definedName>
    <definedName name="__123Graph_BGRAPH1" hidden="1">#REF!</definedName>
    <definedName name="__123Graph_BGRAPH2" hidden="1">#REF!</definedName>
    <definedName name="__123Graph_BGRAPH3" hidden="1">#REF!</definedName>
    <definedName name="__123Graph_BGRAPH4" hidden="1">#REF!</definedName>
    <definedName name="__123Graph_BGRAPH5" hidden="1">#REF!</definedName>
    <definedName name="__123Graph_BGRAPH6" hidden="1">#REF!</definedName>
    <definedName name="__123Graph_C" hidden="1">#REF!</definedName>
    <definedName name="__123Graph_CGRAPH1" hidden="1">#REF!</definedName>
    <definedName name="__123Graph_CGRAPH2" hidden="1">#REF!</definedName>
    <definedName name="__123Graph_CGRAPH3" hidden="1">#REF!</definedName>
    <definedName name="__123Graph_CGRAPH6" hidden="1">#REF!</definedName>
    <definedName name="__123Graph_D" hidden="1">#REF!</definedName>
    <definedName name="__123Graph_DGRAPH1" hidden="1">#REF!</definedName>
    <definedName name="__123Graph_DGRAPH3" hidden="1">#REF!</definedName>
    <definedName name="__123Graph_DGRAPH6" hidden="1">#REF!</definedName>
    <definedName name="__123Graph_LBL_A" hidden="1">#REF!</definedName>
    <definedName name="__123Graph_LBL_AGRAPH1" hidden="1">#REF!</definedName>
    <definedName name="__123Graph_LBL_AGRAPH2" hidden="1">#REF!</definedName>
    <definedName name="__123Graph_LBL_B" hidden="1">#REF!</definedName>
    <definedName name="__123Graph_LBL_BGRAPH2" hidden="1">#REF!</definedName>
    <definedName name="__123Graph_LBL_D" hidden="1">#REF!</definedName>
    <definedName name="__123Graph_LBL_DGRAPH1" hidden="1">#REF!</definedName>
    <definedName name="__123Graph_X" hidden="1">#REF!</definedName>
    <definedName name="__123Graph_XGRAPH1" hidden="1">#REF!</definedName>
    <definedName name="__123Graph_XGRAPH2" hidden="1">#REF!</definedName>
    <definedName name="__123Graph_XGRAPH3" hidden="1">#REF!</definedName>
    <definedName name="__123Graph_XGRAPH4" hidden="1">#REF!</definedName>
    <definedName name="__123Graph_XGRAPH5" hidden="1">#REF!</definedName>
    <definedName name="__123Graph_XGRAPH6" hidden="1">#REF!</definedName>
    <definedName name="__aan1" localSheetId="0">README!#REF!</definedName>
    <definedName name="__aan1">#REF!</definedName>
    <definedName name="__aca1">0</definedName>
    <definedName name="__acb1" localSheetId="0">SUMIF(README!__Cum31,206,README!__sfd1)</definedName>
    <definedName name="__acb1">SUMIF(__Cum31,206,__sfd1)</definedName>
    <definedName name="__adn1" localSheetId="0">README!#REF!</definedName>
    <definedName name="__adn1">#REF!</definedName>
    <definedName name="__aea1" localSheetId="0">SUMIF(README!__cum41,2811,README!__sfc1)+SUMIF(README!__cum51,29191,README!__sfc1)</definedName>
    <definedName name="__aea1">SUMIF(__cum41,2811,__sfc1)+SUMIF(__cum51,29191,__sfc1)</definedName>
    <definedName name="__aeb1" localSheetId="0">SUMIF(README!__Cum31,211,README!__sfd1)+SUMIF(README!__cum41,2191,README!__sfd1)</definedName>
    <definedName name="__aeb1">SUMIF(__Cum31,211,__sfd1)+SUMIF(__cum41,2191,__sfd1)</definedName>
    <definedName name="__afa1" localSheetId="0">SUMIF(README!__cum41,2812,README!__sfc1)+SUMIF(README!__cum41,2913,README!__sfc1)+SUMIF(README!__cum41,2814,README!__sfc1)+SUMIF(README!__cum41,2912,README!__sfc1)+SUMIF(README!__cum41,2813,README!__sfc1)+SUMIF(README!__cum41,2914,README!__sfc1)+SUMIF(README!__cum51,29192,README!__sfc1)</definedName>
    <definedName name="__afa1">SUMIF(__cum41,2812,__sfc1)+SUMIF(__cum41,2913,__sfc1)+SUMIF(__cum41,2814,__sfc1)+SUMIF(__cum41,2912,__sfc1)+SUMIF(__cum41,2813,__sfc1)+SUMIF(__cum41,2914,__sfc1)+SUMIF(__cum51,29192,__sfc1)</definedName>
    <definedName name="__afb1" localSheetId="0">SUMIF(README!__Cum31,212,README!__sfd1)+SUMIF(README!__Cum31,213,README!__sfd1)+SUMIF(README!__Cum31,214,README!__sfd1)+SUMIF(README!__cum41,2193,README!__sfd1)</definedName>
    <definedName name="__afb1">SUMIF(__Cum31,212,__sfd1)+SUMIF(__Cum31,213,__sfd1)+SUMIF(__Cum31,214,__sfd1)+SUMIF(__cum41,2193,__sfd1)</definedName>
    <definedName name="__aga1" localSheetId="0">SUMIF(README!__cum41,2815,README!__sfc1)+SUMIF(README!__cum41,2816,README!__sfc1)+SUMIF(README!__cum41,2915,README!__sfc1)+SUMIF(README!__cum41,2916,README!__sfc1)</definedName>
    <definedName name="__aga1">SUMIF(__cum41,2815,__sfc1)+SUMIF(__cum41,2816,__sfc1)+SUMIF(__cum41,2915,__sfc1)+SUMIF(__cum41,2916,__sfc1)</definedName>
    <definedName name="__agb1" localSheetId="0">SUMIF(README!__Cum31,215,README!__sfd1)+SUMIF(README!__Cum31,216,README!__sfd1)</definedName>
    <definedName name="__agb1">SUMIF(__Cum31,215,__sfd1)+SUMIF(__Cum31,216,__sfd1)</definedName>
    <definedName name="__aha1" localSheetId="0">SUMIF(README!__cum41,2817,README!__sfc1)+SUMIF(README!__cum41,2818,README!__sfc1)+SUMIF(README!__cum41,2917,README!__sfc1)+SUMIF(README!__cum41,2918,README!__sfc1)+SUMIF(README!__cum51,29193,README!__sfc1)</definedName>
    <definedName name="__aha1">SUMIF(__cum41,2817,__sfc1)+SUMIF(__cum41,2818,__sfc1)+SUMIF(__cum41,2917,__sfc1)+SUMIF(__cum41,2918,__sfc1)+SUMIF(__cum51,29193,__sfc1)</definedName>
    <definedName name="__ahb1" localSheetId="0">SUMIF(README!__Cum31,217,README!__sfd1)+SUMIF(README!__Cum31,218,README!__sfd1)+SUMIF(README!__cum41,2198,README!__sfd1)</definedName>
    <definedName name="__ahb1">SUMIF(__Cum31,217,__sfd1)+SUMIF(__Cum31,218,__sfd1)+SUMIF(__cum41,2198,__sfd1)</definedName>
    <definedName name="__ain1" localSheetId="0">README!#REF!</definedName>
    <definedName name="__ain1">#REF!</definedName>
    <definedName name="__aja1" localSheetId="0">SUMIF(README!__Cum31,282,README!__sfc1)+SUMIF(README!__Cum31,292,README!__sfc1)</definedName>
    <definedName name="__aja1">SUMIF(__Cum31,282,__sfc1)+SUMIF(__Cum31,292,__sfc1)</definedName>
    <definedName name="__ajb1" localSheetId="0">SUMIF(README!__cum21,22,README!__sfd1)</definedName>
    <definedName name="__ajb1">SUMIF(__cum21,22,__sfd1)</definedName>
    <definedName name="__aka1" localSheetId="0">SUMIF(README!__cum41,2831,README!__sfc1)+SUMIF(README!__cum41,2832,README!__sfc1)+SUMIF(README!__cum41,2833,README!__sfc1)+SUMIF(README!__cum41,2837,README!__sfc1)+SUMIF(README!__cum41,2931,README!__sfc1)+SUMIF(README!__cum41,2932,README!__sfc1)+SUMIF(README!__cum41,2933,README!__sfc1)+SUMIF(README!__cum41,2937,README!__sfc1)+SUMIF(README!__cum51,29391,README!__sfc1)</definedName>
    <definedName name="__aka1">SUMIF(__cum41,2831,__sfc1)+SUMIF(__cum41,2832,__sfc1)+SUMIF(__cum41,2833,__sfc1)+SUMIF(__cum41,2837,__sfc1)+SUMIF(__cum41,2931,__sfc1)+SUMIF(__cum41,2932,__sfc1)+SUMIF(__cum41,2933,__sfc1)+SUMIF(__cum41,2937,__sfc1)+SUMIF(__cum51,29391,__sfc1)</definedName>
    <definedName name="__akb1" localSheetId="0">SUMIF(README!__Cum31,231,README!__sfd1)+SUMIF(README!__Cum31,232,README!__sfd1)+SUMIF(README!__Cum31,233,README!__sfd1)+SUMIF(README!__Cum31,237,README!__sfd1)+SUMIF(README!__cum41,2391,README!__sfd1)</definedName>
    <definedName name="__akb1">SUMIF(__Cum31,231,__sfd1)+SUMIF(__Cum31,232,__sfd1)+SUMIF(__Cum31,233,__sfd1)+SUMIF(__Cum31,237,__sfd1)+SUMIF(__cum41,2391,__sfd1)</definedName>
    <definedName name="__aqn1" localSheetId="0">README!#REF!</definedName>
    <definedName name="__aqn1">#REF!</definedName>
    <definedName name="__axa1">0</definedName>
    <definedName name="__axb1" localSheetId="0">SUMIF(README!__Cum31,202,README!__sfd1)</definedName>
    <definedName name="__axb1">SUMIF(__Cum31,202,__sfd1)</definedName>
    <definedName name="__AYA1">0</definedName>
    <definedName name="__AYB1" localSheetId="0">SUMIF(README!__Cum31,202,README!__sfd1)</definedName>
    <definedName name="__AYB1">SUMIF(__Cum31,202,__sfd1)</definedName>
    <definedName name="__azn1" localSheetId="0">README!#REF!</definedName>
    <definedName name="__azn1">#REF!</definedName>
    <definedName name="__bcn1" localSheetId="0">README!#REF!</definedName>
    <definedName name="__bcn1">#REF!</definedName>
    <definedName name="__bdn1" localSheetId="0">README!#REF!</definedName>
    <definedName name="__bdn1">#REF!</definedName>
    <definedName name="__ben1" localSheetId="0">README!#REF!</definedName>
    <definedName name="__ben1">#REF!</definedName>
    <definedName name="__bfe1" localSheetId="0">README!#REF!</definedName>
    <definedName name="__bfe1">#REF!</definedName>
    <definedName name="__bfe2" localSheetId="0">README!#REF!</definedName>
    <definedName name="__bfe2">#REF!</definedName>
    <definedName name="__bfn1" localSheetId="0">README!#REF!</definedName>
    <definedName name="__bfn1">#REF!</definedName>
    <definedName name="__bhn1" localSheetId="0">README!#REF!</definedName>
    <definedName name="__bhn1">#REF!</definedName>
    <definedName name="__bin1" localSheetId="0">README!#REF!</definedName>
    <definedName name="__bin1">#REF!</definedName>
    <definedName name="__bjn1" localSheetId="0">README!#REF!</definedName>
    <definedName name="__bjn1">#REF!</definedName>
    <definedName name="__bkn1" localSheetId="0">README!#REF!</definedName>
    <definedName name="__bkn1">#REF!</definedName>
    <definedName name="__btn1" localSheetId="0">README!#REF!</definedName>
    <definedName name="__btn1">#REF!</definedName>
    <definedName name="__bun1" localSheetId="0">README!#REF!</definedName>
    <definedName name="__bun1">#REF!</definedName>
    <definedName name="__bzn1" localSheetId="0">README!#REF!</definedName>
    <definedName name="__bzn1">#REF!</definedName>
    <definedName name="__Chart_of_accounts_">#REF!</definedName>
    <definedName name="__Chart_of_accounts_account">#REF!</definedName>
    <definedName name="__Chart_of_accounts_account_grp">#REF!</definedName>
    <definedName name="__Chart_of_accounts_account_rule">#REF!</definedName>
    <definedName name="__Chart_of_accounts_account_type">#REF!</definedName>
    <definedName name="__Chart_of_accounts_client">#REF!</definedName>
    <definedName name="__Chart_of_accounts_description">#REF!</definedName>
    <definedName name="__Chart_of_accounts_head_account">#REF!</definedName>
    <definedName name="__Chart_of_accounts_period_from">#REF!</definedName>
    <definedName name="__Chart_of_accounts_period_to">#REF!</definedName>
    <definedName name="__Chart_of_accounts_status">#REF!</definedName>
    <definedName name="__Chart_of_accounts_tab">#REF!</definedName>
    <definedName name="__Chart_of_accounts_xaccount_grp">#REF!</definedName>
    <definedName name="__cum1">#REF!</definedName>
    <definedName name="__cum2">#REF!</definedName>
    <definedName name="__cum21" localSheetId="0">README!#REF!</definedName>
    <definedName name="__cum21">#REF!</definedName>
    <definedName name="__cum3">#REF!</definedName>
    <definedName name="__Cum31" localSheetId="0">README!#REF!</definedName>
    <definedName name="__Cum31">#REF!</definedName>
    <definedName name="__cum4">#REF!</definedName>
    <definedName name="__cum41" localSheetId="0">README!#REF!</definedName>
    <definedName name="__cum41">#REF!</definedName>
    <definedName name="__cum5">#REF!</definedName>
    <definedName name="__cum51" localSheetId="0">README!#REF!</definedName>
    <definedName name="__cum51">#REF!</definedName>
    <definedName name="__cum6">#REF!</definedName>
    <definedName name="__cum7">#REF!</definedName>
    <definedName name="__cum8">#REF!</definedName>
    <definedName name="__din1" localSheetId="0">README!#REF!</definedName>
    <definedName name="__din1">#REF!</definedName>
    <definedName name="__djn1" localSheetId="0">README!#REF!</definedName>
    <definedName name="__djn1">#REF!</definedName>
    <definedName name="__dkn1" localSheetId="0">README!#REF!</definedName>
    <definedName name="__dkn1">#REF!</definedName>
    <definedName name="__dln1" localSheetId="0">README!#REF!</definedName>
    <definedName name="__dln1">#REF!</definedName>
    <definedName name="__dmn1" localSheetId="0">README!#REF!</definedName>
    <definedName name="__dmn1">#REF!</definedName>
    <definedName name="__dpn1" localSheetId="0">README!#REF!</definedName>
    <definedName name="__dpn1">#REF!</definedName>
    <definedName name="__dtn1" localSheetId="0">README!#REF!</definedName>
    <definedName name="__dtn1">#REF!</definedName>
    <definedName name="__dun1" localSheetId="0">README!#REF!</definedName>
    <definedName name="__dun1">#REF!</definedName>
    <definedName name="__dzn1" localSheetId="0">README!#REF!</definedName>
    <definedName name="__dzn1">#REF!</definedName>
    <definedName name="__FFN1" localSheetId="0">README!#REF!</definedName>
    <definedName name="__FFN1">#REF!</definedName>
    <definedName name="__FGN1" localSheetId="0">README!#REF!</definedName>
    <definedName name="__FGN1">#REF!</definedName>
    <definedName name="__fkn1" localSheetId="0">README!#REF!</definedName>
    <definedName name="__fkn1">#REF!</definedName>
    <definedName name="__fsn1" localSheetId="0">README!#REF!</definedName>
    <definedName name="__fsn1">#REF!</definedName>
    <definedName name="__ftn1" localSheetId="0">README!#REF!</definedName>
    <definedName name="__ftn1">#REF!</definedName>
    <definedName name="__fwn1" localSheetId="0">README!#REF!</definedName>
    <definedName name="__fwn1">#REF!</definedName>
    <definedName name="__mc1" localSheetId="0">README!#REF!</definedName>
    <definedName name="__mc1">#REF!</definedName>
    <definedName name="__md1" localSheetId="0">README!#REF!</definedName>
    <definedName name="__md1">#REF!</definedName>
    <definedName name="__parameters_">#REF!</definedName>
    <definedName name="__parameters_client">#REF!</definedName>
    <definedName name="__parameters_Company">#REF!</definedName>
    <definedName name="__parameters_language">#REF!</definedName>
    <definedName name="__parameters_Status">#REF!</definedName>
    <definedName name="__parameters_template">#REF!</definedName>
    <definedName name="__parameters_user_id">#REF!</definedName>
    <definedName name="__ran1" localSheetId="0">README!#REF!</definedName>
    <definedName name="__ran1">#REF!</definedName>
    <definedName name="__rbn1" localSheetId="0">README!#REF!</definedName>
    <definedName name="__rbn1">#REF!</definedName>
    <definedName name="__rcn1" localSheetId="0">README!#REF!</definedName>
    <definedName name="__rcn1">#REF!</definedName>
    <definedName name="__rdn1" localSheetId="0">README!#REF!</definedName>
    <definedName name="__rdn1">#REF!</definedName>
    <definedName name="__ren1" localSheetId="0">README!#REF!</definedName>
    <definedName name="__ren1">#REF!</definedName>
    <definedName name="__rhn1" localSheetId="0">README!#REF!</definedName>
    <definedName name="__rhn1">#REF!</definedName>
    <definedName name="__rin1" localSheetId="0">README!#REF!</definedName>
    <definedName name="__rin1">#REF!</definedName>
    <definedName name="__rjn1" localSheetId="0">README!#REF!</definedName>
    <definedName name="__rjn1">#REF!</definedName>
    <definedName name="__rkn1" localSheetId="0">README!#REF!</definedName>
    <definedName name="__rkn1">#REF!</definedName>
    <definedName name="__rln1" localSheetId="0">README!#REF!</definedName>
    <definedName name="__rln1">#REF!</definedName>
    <definedName name="__rpn1" localSheetId="0">README!#REF!</definedName>
    <definedName name="__rpn1">#REF!</definedName>
    <definedName name="__rwn1" localSheetId="0">README!#REF!</definedName>
    <definedName name="__rwn1">#REF!</definedName>
    <definedName name="__san1" localSheetId="0">README!#REF!</definedName>
    <definedName name="__san1">#REF!</definedName>
    <definedName name="__scn1" localSheetId="0">README!#REF!</definedName>
    <definedName name="__scn1">#REF!</definedName>
    <definedName name="__sfc1" localSheetId="0">README!#REF!</definedName>
    <definedName name="__sfc1">#REF!</definedName>
    <definedName name="__sfd1" localSheetId="0">README!#REF!</definedName>
    <definedName name="__sfd1">#REF!</definedName>
    <definedName name="__sfn1" localSheetId="0">README!#REF!</definedName>
    <definedName name="__sfn1">#REF!</definedName>
    <definedName name="__shn1" localSheetId="0">README!#REF!</definedName>
    <definedName name="__shn1">#REF!</definedName>
    <definedName name="__sic1" localSheetId="0">README!#REF!</definedName>
    <definedName name="__sic1">#REF!</definedName>
    <definedName name="__sid1" localSheetId="0">README!#REF!</definedName>
    <definedName name="__sid1">#REF!</definedName>
    <definedName name="__son1" localSheetId="0">README!#REF!</definedName>
    <definedName name="__son1">#REF!</definedName>
    <definedName name="__sqn1" localSheetId="0">README!#REF!</definedName>
    <definedName name="__sqn1">#REF!</definedName>
    <definedName name="__srn1" localSheetId="0">README!#REF!</definedName>
    <definedName name="__srn1">#REF!</definedName>
    <definedName name="__ssn1" localSheetId="0">README!#REF!</definedName>
    <definedName name="__ssn1">#REF!</definedName>
    <definedName name="__stn1" localSheetId="0">README!#REF!</definedName>
    <definedName name="__stn1">#REF!</definedName>
    <definedName name="__tan1" localSheetId="0">README!#REF!</definedName>
    <definedName name="__tan1">#REF!</definedName>
    <definedName name="__tbn1" localSheetId="0">README!#REF!</definedName>
    <definedName name="__tbn1">#REF!</definedName>
    <definedName name="__tcn1" localSheetId="0">README!#REF!</definedName>
    <definedName name="__tcn1">#REF!</definedName>
    <definedName name="__tdn1" localSheetId="0">README!#REF!</definedName>
    <definedName name="__tdn1">#REF!</definedName>
    <definedName name="__ten1" localSheetId="0">README!#REF!</definedName>
    <definedName name="__ten1">#REF!</definedName>
    <definedName name="__tfn1" localSheetId="0">README!#REF!</definedName>
    <definedName name="__tfn1">#REF!</definedName>
    <definedName name="__tgn1" localSheetId="0">README!#REF!</definedName>
    <definedName name="__tgn1">#REF!</definedName>
    <definedName name="__thn1" localSheetId="0">README!#REF!</definedName>
    <definedName name="__thn1">#REF!</definedName>
    <definedName name="__tkn1" localSheetId="0">README!#REF!</definedName>
    <definedName name="__tkn1">#REF!</definedName>
    <definedName name="__tln1" localSheetId="0">README!#REF!</definedName>
    <definedName name="__tln1">#REF!</definedName>
    <definedName name="__tnn1" localSheetId="0">README!#REF!</definedName>
    <definedName name="__tnn1">#REF!</definedName>
    <definedName name="__tqn1" localSheetId="0">README!#REF!</definedName>
    <definedName name="__tqn1">#REF!</definedName>
    <definedName name="__ttn1" localSheetId="0">README!#REF!</definedName>
    <definedName name="__ttn1">#REF!</definedName>
    <definedName name="__twn1" localSheetId="0">README!#REF!</definedName>
    <definedName name="__twn1">#REF!</definedName>
    <definedName name="__uan1" localSheetId="0">README!#REF!</definedName>
    <definedName name="__uan1">#REF!</definedName>
    <definedName name="__ucn1" localSheetId="0">README!#REF!</definedName>
    <definedName name="__ucn1">#REF!</definedName>
    <definedName name="__uen1" localSheetId="0">README!#REF!</definedName>
    <definedName name="__uen1">#REF!</definedName>
    <definedName name="__ufn1" localSheetId="0">README!#REF!</definedName>
    <definedName name="__ufn1">#REF!</definedName>
    <definedName name="__uhn1" localSheetId="0">README!#REF!</definedName>
    <definedName name="__uhn1">#REF!</definedName>
    <definedName name="__uln1" localSheetId="0">README!#REF!</definedName>
    <definedName name="__uln1">#REF!</definedName>
    <definedName name="__unn1" localSheetId="0">README!#REF!</definedName>
    <definedName name="__unn1">#REF!</definedName>
    <definedName name="__uon1" localSheetId="0">README!#REF!</definedName>
    <definedName name="__uon1">#REF!</definedName>
    <definedName name="__utn1" localSheetId="0">README!#REF!</definedName>
    <definedName name="__utn1">#REF!</definedName>
    <definedName name="_1" hidden="1">#REF!</definedName>
    <definedName name="_2008" localSheetId="0">README!#REF!</definedName>
    <definedName name="_2008">#REF!</definedName>
    <definedName name="_8_1">#REF!</definedName>
    <definedName name="_aan1" localSheetId="0">README!#REF!</definedName>
    <definedName name="_aan1">#REF!</definedName>
    <definedName name="_aca1">0</definedName>
    <definedName name="_acb1" localSheetId="0">SUMIF(README!_Cum31,206,README!_sfd1)</definedName>
    <definedName name="_acb1">SUMIF(_Cum31,206,_sfd1)</definedName>
    <definedName name="_adn1" localSheetId="0">README!#REF!</definedName>
    <definedName name="_adn1">#REF!</definedName>
    <definedName name="_aea1" localSheetId="0">SUMIF(README!_cum41,2811,README!_sfc1)+SUMIF(README!_cum51,29191,README!_sfc1)</definedName>
    <definedName name="_aea1">SUMIF(_cum41,2811,_sfc1)+SUMIF(_cum51,29191,_sfc1)</definedName>
    <definedName name="_aeb1" localSheetId="0">SUMIF(README!_Cum31,211,README!_sfd1)+SUMIF(README!_cum41,2191,README!_sfd1)</definedName>
    <definedName name="_aeb1">SUMIF(_Cum31,211,_sfd1)+SUMIF(_cum41,2191,_sfd1)</definedName>
    <definedName name="_afa1" localSheetId="0">SUMIF(README!_cum41,2812,README!_sfc1)+SUMIF(README!_cum41,2913,README!_sfc1)+SUMIF(README!_cum41,2814,README!_sfc1)+SUMIF(README!_cum41,2912,README!_sfc1)+SUMIF(README!_cum41,2813,README!_sfc1)+SUMIF(README!_cum41,2914,README!_sfc1)+SUMIF(README!_cum51,29192,README!_sfc1)</definedName>
    <definedName name="_afa1">SUMIF(_cum41,2812,_sfc1)+SUMIF(_cum41,2913,_sfc1)+SUMIF(_cum41,2814,_sfc1)+SUMIF(_cum41,2912,_sfc1)+SUMIF(_cum41,2813,_sfc1)+SUMIF(_cum41,2914,_sfc1)+SUMIF(_cum51,29192,_sfc1)</definedName>
    <definedName name="_afb1" localSheetId="0">SUMIF(README!_Cum31,212,README!_sfd1)+SUMIF(README!_Cum31,213,README!_sfd1)+SUMIF(README!_Cum31,214,README!_sfd1)+SUMIF(README!_cum41,2193,README!_sfd1)</definedName>
    <definedName name="_afb1">SUMIF(_Cum31,212,_sfd1)+SUMIF(_Cum31,213,_sfd1)+SUMIF(_Cum31,214,_sfd1)+SUMIF(_cum41,2193,_sfd1)</definedName>
    <definedName name="_aga1" localSheetId="0">SUMIF(README!_cum41,2815,README!_sfc1)+SUMIF(README!_cum41,2816,README!_sfc1)+SUMIF(README!_cum41,2915,README!_sfc1)+SUMIF(README!_cum41,2916,README!_sfc1)</definedName>
    <definedName name="_aga1">SUMIF(_cum41,2815,_sfc1)+SUMIF(_cum41,2816,_sfc1)+SUMIF(_cum41,2915,_sfc1)+SUMIF(_cum41,2916,_sfc1)</definedName>
    <definedName name="_agb1" localSheetId="0">SUMIF(README!_Cum31,215,README!_sfd1)+SUMIF(README!_Cum31,216,README!_sfd1)</definedName>
    <definedName name="_agb1">SUMIF(_Cum31,215,_sfd1)+SUMIF(_Cum31,216,_sfd1)</definedName>
    <definedName name="_aha1" localSheetId="0">SUMIF(README!_cum41,2817,README!_sfc1)+SUMIF(README!_cum41,2818,README!_sfc1)+SUMIF(README!_cum41,2917,README!_sfc1)+SUMIF(README!_cum41,2918,README!_sfc1)+SUMIF(README!_cum51,29193,README!_sfc1)</definedName>
    <definedName name="_aha1">SUMIF(_cum41,2817,_sfc1)+SUMIF(_cum41,2818,_sfc1)+SUMIF(_cum41,2917,_sfc1)+SUMIF(_cum41,2918,_sfc1)+SUMIF(_cum51,29193,_sfc1)</definedName>
    <definedName name="_ahb1" localSheetId="0">SUMIF(README!_Cum31,217,README!_sfd1)+SUMIF(README!_Cum31,218,README!_sfd1)+SUMIF(README!_cum41,2198,README!_sfd1)</definedName>
    <definedName name="_ahb1">SUMIF(_Cum31,217,_sfd1)+SUMIF(_Cum31,218,_sfd1)+SUMIF(_cum41,2198,_sfd1)</definedName>
    <definedName name="_ain1" localSheetId="0">README!#REF!</definedName>
    <definedName name="_ain1">#REF!</definedName>
    <definedName name="_aja1" localSheetId="0">SUMIF(README!_Cum31,282,README!_sfc1)+SUMIF(README!_Cum31,292,README!_sfc1)</definedName>
    <definedName name="_aja1">SUMIF(_Cum31,282,_sfc1)+SUMIF(_Cum31,292,_sfc1)</definedName>
    <definedName name="_ajb1" localSheetId="0">SUMIF(README!_cum21,22,README!_sfd1)</definedName>
    <definedName name="_ajb1">SUMIF(_cum21,22,_sfd1)</definedName>
    <definedName name="_aka1" localSheetId="0">SUMIF(README!_cum41,2831,README!_sfc1)+SUMIF(README!_cum41,2832,README!_sfc1)+SUMIF(README!_cum41,2833,README!_sfc1)+SUMIF(README!_cum41,2837,README!_sfc1)+SUMIF(README!_cum41,2931,README!_sfc1)+SUMIF(README!_cum41,2932,README!_sfc1)+SUMIF(README!_cum41,2933,README!_sfc1)+SUMIF(README!_cum41,2937,README!_sfc1)+SUMIF(README!_cum51,29391,README!_sfc1)</definedName>
    <definedName name="_aka1">SUMIF(_cum41,2831,_sfc1)+SUMIF(_cum41,2832,_sfc1)+SUMIF(_cum41,2833,_sfc1)+SUMIF(_cum41,2837,_sfc1)+SUMIF(_cum41,2931,_sfc1)+SUMIF(_cum41,2932,_sfc1)+SUMIF(_cum41,2933,_sfc1)+SUMIF(_cum41,2937,_sfc1)+SUMIF(_cum51,29391,_sfc1)</definedName>
    <definedName name="_akb1" localSheetId="0">SUMIF(README!_Cum31,231,README!_sfd1)+SUMIF(README!_Cum31,232,README!_sfd1)+SUMIF(README!_Cum31,233,README!_sfd1)+SUMIF(README!_Cum31,237,README!_sfd1)+SUMIF(README!_cum41,2391,README!_sfd1)</definedName>
    <definedName name="_akb1">SUMIF(_Cum31,231,_sfd1)+SUMIF(_Cum31,232,_sfd1)+SUMIF(_Cum31,233,_sfd1)+SUMIF(_Cum31,237,_sfd1)+SUMIF(_cum41,2391,_sfd1)</definedName>
    <definedName name="_aqn1" localSheetId="0">README!#REF!</definedName>
    <definedName name="_aqn1">#REF!</definedName>
    <definedName name="_axa1">0</definedName>
    <definedName name="_axb1" localSheetId="0">SUMIF(README!_Cum31,202,README!_sfd1)</definedName>
    <definedName name="_axb1">SUMIF(_Cum31,202,_sfd1)</definedName>
    <definedName name="_AYA1">0</definedName>
    <definedName name="_AYB1" localSheetId="0">SUMIF(README!_Cum31,202,README!_sfd1)</definedName>
    <definedName name="_AYB1">SUMIF(_Cum31,202,_sfd1)</definedName>
    <definedName name="_azn1" localSheetId="0">README!#REF!</definedName>
    <definedName name="_azn1">#REF!</definedName>
    <definedName name="_bcn1" localSheetId="0">README!#REF!</definedName>
    <definedName name="_bcn1">#REF!</definedName>
    <definedName name="_bdn1" localSheetId="0">README!#REF!</definedName>
    <definedName name="_bdn1">#REF!</definedName>
    <definedName name="_ben1" localSheetId="0">README!#REF!</definedName>
    <definedName name="_ben1">#REF!</definedName>
    <definedName name="_bfe1" localSheetId="0">README!#REF!</definedName>
    <definedName name="_bfe1">#REF!</definedName>
    <definedName name="_bfe2" localSheetId="0">README!#REF!</definedName>
    <definedName name="_bfe2">#REF!</definedName>
    <definedName name="_bfn1" localSheetId="0">README!#REF!</definedName>
    <definedName name="_bfn1">#REF!</definedName>
    <definedName name="_bhn1" localSheetId="0">README!#REF!</definedName>
    <definedName name="_bhn1">#REF!</definedName>
    <definedName name="_bin1" localSheetId="0">README!#REF!</definedName>
    <definedName name="_bin1">#REF!</definedName>
    <definedName name="_bjn1" localSheetId="0">README!#REF!</definedName>
    <definedName name="_bjn1">#REF!</definedName>
    <definedName name="_bkn1" localSheetId="0">README!#REF!</definedName>
    <definedName name="_bkn1">#REF!</definedName>
    <definedName name="_btn1" localSheetId="0">README!#REF!</definedName>
    <definedName name="_btn1">#REF!</definedName>
    <definedName name="_bun1" localSheetId="0">README!#REF!</definedName>
    <definedName name="_bun1">#REF!</definedName>
    <definedName name="_bzn1" localSheetId="0">README!#REF!</definedName>
    <definedName name="_bzn1">#REF!</definedName>
    <definedName name="_cum1">#REF!</definedName>
    <definedName name="_cum2">#REF!</definedName>
    <definedName name="_cum21" localSheetId="0">README!#REF!</definedName>
    <definedName name="_cum21">#REF!</definedName>
    <definedName name="_cum3">#REF!</definedName>
    <definedName name="_Cum31" localSheetId="0">README!#REF!</definedName>
    <definedName name="_Cum31">#REF!</definedName>
    <definedName name="_cum4">#REF!</definedName>
    <definedName name="_cum41" localSheetId="0">README!#REF!</definedName>
    <definedName name="_cum41">#REF!</definedName>
    <definedName name="_cum5">#REF!</definedName>
    <definedName name="_cum51" localSheetId="0">README!#REF!</definedName>
    <definedName name="_cum51">#REF!</definedName>
    <definedName name="_cum6">#REF!</definedName>
    <definedName name="_cum7">#REF!</definedName>
    <definedName name="_cum8">#REF!</definedName>
    <definedName name="_din1" localSheetId="0">README!#REF!</definedName>
    <definedName name="_din1">#REF!</definedName>
    <definedName name="_djn1" localSheetId="0">README!#REF!</definedName>
    <definedName name="_djn1">#REF!</definedName>
    <definedName name="_dkn1" localSheetId="0">README!#REF!</definedName>
    <definedName name="_dkn1">#REF!</definedName>
    <definedName name="_dln1" localSheetId="0">README!#REF!</definedName>
    <definedName name="_dln1">#REF!</definedName>
    <definedName name="_dmn1" localSheetId="0">README!#REF!</definedName>
    <definedName name="_dmn1">#REF!</definedName>
    <definedName name="_dpn1" localSheetId="0">README!#REF!</definedName>
    <definedName name="_dpn1">#REF!</definedName>
    <definedName name="_dtn1" localSheetId="0">README!#REF!</definedName>
    <definedName name="_dtn1">#REF!</definedName>
    <definedName name="_dun1" localSheetId="0">README!#REF!</definedName>
    <definedName name="_dun1">#REF!</definedName>
    <definedName name="_dzn1" localSheetId="0">README!#REF!</definedName>
    <definedName name="_dzn1">#REF!</definedName>
    <definedName name="_FFN1" localSheetId="0">README!#REF!</definedName>
    <definedName name="_FFN1">#REF!</definedName>
    <definedName name="_FGN1" localSheetId="0">README!#REF!</definedName>
    <definedName name="_FGN1">#REF!</definedName>
    <definedName name="_Fill" hidden="1">#REF!</definedName>
    <definedName name="_xlnm._FilterDatabase" localSheetId="4" hidden="1">'odk example (old)'!$A$1:$AD$449</definedName>
    <definedName name="_xlnm._FilterDatabase" localSheetId="2" hidden="1">RDTMASTERLIST!$D$1:$S$67</definedName>
    <definedName name="_xlnm._FilterDatabase" localSheetId="3" hidden="1">'WHO&amp;GF'!$A$1:$AD$122</definedName>
    <definedName name="_fkn1" localSheetId="0">README!#REF!</definedName>
    <definedName name="_fkn1">#REF!</definedName>
    <definedName name="_fsn1" localSheetId="0">README!#REF!</definedName>
    <definedName name="_fsn1">#REF!</definedName>
    <definedName name="_ftn1" localSheetId="0">README!#REF!</definedName>
    <definedName name="_ftn1">#REF!</definedName>
    <definedName name="_fwn1" localSheetId="0">README!#REF!</definedName>
    <definedName name="_fwn1">#REF!</definedName>
    <definedName name="_Key1" hidden="1">#REF!</definedName>
    <definedName name="_key11" hidden="1">#REF!</definedName>
    <definedName name="_Key1b" hidden="1">#REF!</definedName>
    <definedName name="_Key2" hidden="1">#REF!</definedName>
    <definedName name="_MB40">#REF!</definedName>
    <definedName name="_MB44">#REF!</definedName>
    <definedName name="_mc1" localSheetId="0">README!#REF!</definedName>
    <definedName name="_mc1">#REF!</definedName>
    <definedName name="_md1" localSheetId="0">README!#REF!</definedName>
    <definedName name="_md1">#REF!</definedName>
    <definedName name="_Order1" hidden="1">255</definedName>
    <definedName name="_Order2" hidden="1">255</definedName>
    <definedName name="_ran1" localSheetId="0">README!#REF!</definedName>
    <definedName name="_ran1">#REF!</definedName>
    <definedName name="_rbn1" localSheetId="0">README!#REF!</definedName>
    <definedName name="_rbn1">#REF!</definedName>
    <definedName name="_rcn1" localSheetId="0">README!#REF!</definedName>
    <definedName name="_rcn1">#REF!</definedName>
    <definedName name="_rdn1" localSheetId="0">README!#REF!</definedName>
    <definedName name="_rdn1">#REF!</definedName>
    <definedName name="_ren1" localSheetId="0">README!#REF!</definedName>
    <definedName name="_ren1">#REF!</definedName>
    <definedName name="_rhn1" localSheetId="0">README!#REF!</definedName>
    <definedName name="_rhn1">#REF!</definedName>
    <definedName name="_rin1" localSheetId="0">README!#REF!</definedName>
    <definedName name="_rin1">#REF!</definedName>
    <definedName name="_rjn1" localSheetId="0">README!#REF!</definedName>
    <definedName name="_rjn1">#REF!</definedName>
    <definedName name="_rkn1" localSheetId="0">README!#REF!</definedName>
    <definedName name="_rkn1">#REF!</definedName>
    <definedName name="_rln1" localSheetId="0">README!#REF!</definedName>
    <definedName name="_rln1">#REF!</definedName>
    <definedName name="_rpn1" localSheetId="0">README!#REF!</definedName>
    <definedName name="_rpn1">#REF!</definedName>
    <definedName name="_rwn1" localSheetId="0">README!#REF!</definedName>
    <definedName name="_rwn1">#REF!</definedName>
    <definedName name="_san1" localSheetId="0">README!#REF!</definedName>
    <definedName name="_san1">#REF!</definedName>
    <definedName name="_scn1" localSheetId="0">README!#REF!</definedName>
    <definedName name="_scn1">#REF!</definedName>
    <definedName name="_sfc1" localSheetId="0">README!#REF!</definedName>
    <definedName name="_sfc1">#REF!</definedName>
    <definedName name="_sfd1" localSheetId="0">README!#REF!</definedName>
    <definedName name="_sfd1">#REF!</definedName>
    <definedName name="_sfn1" localSheetId="0">README!#REF!</definedName>
    <definedName name="_sfn1">#REF!</definedName>
    <definedName name="_shn1" localSheetId="0">README!#REF!</definedName>
    <definedName name="_shn1">#REF!</definedName>
    <definedName name="_sic1" localSheetId="0">README!#REF!</definedName>
    <definedName name="_sic1">#REF!</definedName>
    <definedName name="_sid1" localSheetId="0">README!#REF!</definedName>
    <definedName name="_sid1">#REF!</definedName>
    <definedName name="_son1" localSheetId="0">README!#REF!</definedName>
    <definedName name="_son1">#REF!</definedName>
    <definedName name="_Sort" hidden="1">#REF!</definedName>
    <definedName name="_Sortb" hidden="1">#REF!</definedName>
    <definedName name="_sqn1" localSheetId="0">README!#REF!</definedName>
    <definedName name="_sqn1">#REF!</definedName>
    <definedName name="_srn1" localSheetId="0">README!#REF!</definedName>
    <definedName name="_srn1">#REF!</definedName>
    <definedName name="_ssn1" localSheetId="0">README!#REF!</definedName>
    <definedName name="_ssn1">#REF!</definedName>
    <definedName name="_stn1" localSheetId="0">README!#REF!</definedName>
    <definedName name="_stn1">#REF!</definedName>
    <definedName name="_tan1" localSheetId="0">README!#REF!</definedName>
    <definedName name="_tan1">#REF!</definedName>
    <definedName name="_tbn1" localSheetId="0">README!#REF!</definedName>
    <definedName name="_tbn1">#REF!</definedName>
    <definedName name="_tcn1" localSheetId="0">README!#REF!</definedName>
    <definedName name="_tcn1">#REF!</definedName>
    <definedName name="_tdn1" localSheetId="0">README!#REF!</definedName>
    <definedName name="_tdn1">#REF!</definedName>
    <definedName name="_ten1" localSheetId="0">README!#REF!</definedName>
    <definedName name="_ten1">#REF!</definedName>
    <definedName name="_tfn1" localSheetId="0">README!#REF!</definedName>
    <definedName name="_tfn1">#REF!</definedName>
    <definedName name="_tgn1" localSheetId="0">README!#REF!</definedName>
    <definedName name="_tgn1">#REF!</definedName>
    <definedName name="_thn1" localSheetId="0">README!#REF!</definedName>
    <definedName name="_thn1">#REF!</definedName>
    <definedName name="_tkn1" localSheetId="0">README!#REF!</definedName>
    <definedName name="_tkn1">#REF!</definedName>
    <definedName name="_tln1" localSheetId="0">README!#REF!</definedName>
    <definedName name="_tln1">#REF!</definedName>
    <definedName name="_tnn1" localSheetId="0">README!#REF!</definedName>
    <definedName name="_tnn1">#REF!</definedName>
    <definedName name="_tqn1" localSheetId="0">README!#REF!</definedName>
    <definedName name="_tqn1">#REF!</definedName>
    <definedName name="_ttn1" localSheetId="0">README!#REF!</definedName>
    <definedName name="_ttn1">#REF!</definedName>
    <definedName name="_twn1" localSheetId="0">README!#REF!</definedName>
    <definedName name="_twn1">#REF!</definedName>
    <definedName name="_uan1" localSheetId="0">README!#REF!</definedName>
    <definedName name="_uan1">#REF!</definedName>
    <definedName name="_ucn1" localSheetId="0">README!#REF!</definedName>
    <definedName name="_ucn1">#REF!</definedName>
    <definedName name="_uen1" localSheetId="0">README!#REF!</definedName>
    <definedName name="_uen1">#REF!</definedName>
    <definedName name="_ufn1" localSheetId="0">README!#REF!</definedName>
    <definedName name="_ufn1">#REF!</definedName>
    <definedName name="_uhn1" localSheetId="0">README!#REF!</definedName>
    <definedName name="_uhn1">#REF!</definedName>
    <definedName name="_uln1" localSheetId="0">README!#REF!</definedName>
    <definedName name="_uln1">#REF!</definedName>
    <definedName name="_unn1" localSheetId="0">README!#REF!</definedName>
    <definedName name="_unn1">#REF!</definedName>
    <definedName name="_uon1" localSheetId="0">README!#REF!</definedName>
    <definedName name="_uon1">#REF!</definedName>
    <definedName name="_utn1" localSheetId="0">README!#REF!</definedName>
    <definedName name="_utn1">#REF!</definedName>
    <definedName name="a" localSheetId="0">README!#REF!</definedName>
    <definedName name="a">#REF!</definedName>
    <definedName name="aa" localSheetId="0">README!#REF!</definedName>
    <definedName name="aa">#REF!</definedName>
    <definedName name="aab" localSheetId="0">README!#REF!</definedName>
    <definedName name="aab">#REF!</definedName>
    <definedName name="ab" localSheetId="0">README!#REF!</definedName>
    <definedName name="ab">#REF!</definedName>
    <definedName name="abc">#REF!</definedName>
    <definedName name="Accomodation" localSheetId="0">README!#REF!</definedName>
    <definedName name="Accomodation">#REF!</definedName>
    <definedName name="Account" localSheetId="0">OFFSET(README!#REF!,0,0,COUNTA(README!#REF!),1)</definedName>
    <definedName name="Account">OFFSET(#REF!,0,0,COUNTA(#REF!),1)</definedName>
    <definedName name="Account_Category">#REF!</definedName>
    <definedName name="Account_Category_Description">#REF!</definedName>
    <definedName name="Activities" localSheetId="0">README!#REF!</definedName>
    <definedName name="Activities">#REF!</definedName>
    <definedName name="activity" localSheetId="0">README!#REF!</definedName>
    <definedName name="activity">#REF!</definedName>
    <definedName name="Activity_List" localSheetId="0">OFFSET(README!#REF!,0,0,COUNTA(README!#REF!)-1)</definedName>
    <definedName name="Activity_List">OFFSET(#REF!,0,0,COUNTA(#REF!)-1)</definedName>
    <definedName name="actprinc" localSheetId="0">README!#REF!</definedName>
    <definedName name="actprinc">#REF!</definedName>
    <definedName name="Actuals">#REF!</definedName>
    <definedName name="Actuals2">#REF!</definedName>
    <definedName name="ACU" localSheetId="0">README!#REF!</definedName>
    <definedName name="ACU">#REF!</definedName>
    <definedName name="ada" localSheetId="0">README!#REF!</definedName>
    <definedName name="ada">#REF!</definedName>
    <definedName name="adb" localSheetId="0">README!#REF!</definedName>
    <definedName name="adb">#REF!</definedName>
    <definedName name="adminfee" localSheetId="0">README!#REF!</definedName>
    <definedName name="adminfee">#REF!</definedName>
    <definedName name="adn" localSheetId="0">README!#REF!</definedName>
    <definedName name="adn">#REF!</definedName>
    <definedName name="adres" localSheetId="0">README!#REF!</definedName>
    <definedName name="adres">#REF!</definedName>
    <definedName name="adsf">#REF!</definedName>
    <definedName name="Advertising">#REF!</definedName>
    <definedName name="af" localSheetId="0">README!#REF!</definedName>
    <definedName name="af">#REF!</definedName>
    <definedName name="AFRICA">#REF!</definedName>
    <definedName name="Aggregated_Project" localSheetId="0">README!#REF!</definedName>
    <definedName name="Aggregated_Project">#REF!</definedName>
    <definedName name="aia" localSheetId="0">README!#REF!</definedName>
    <definedName name="aia">#REF!</definedName>
    <definedName name="aib" localSheetId="0">README!#REF!</definedName>
    <definedName name="aib">#REF!</definedName>
    <definedName name="ain" localSheetId="0">README!#REF!</definedName>
    <definedName name="ain">#REF!</definedName>
    <definedName name="akfh">#REF!</definedName>
    <definedName name="akldfj">#REF!</definedName>
    <definedName name="amount" localSheetId="0">README!#REF!</definedName>
    <definedName name="amount">#REF!</definedName>
    <definedName name="amount_type" localSheetId="0">README!#REF!</definedName>
    <definedName name="amount_type">#REF!</definedName>
    <definedName name="amount2" localSheetId="0">README!#REF!</definedName>
    <definedName name="amount2">#REF!</definedName>
    <definedName name="amts" localSheetId="0">README!#REF!</definedName>
    <definedName name="amts">#REF!</definedName>
    <definedName name="AprIndex" localSheetId="0">README!#REF!</definedName>
    <definedName name="AprIndex">#REF!</definedName>
    <definedName name="aqb" localSheetId="0">README!#REF!</definedName>
    <definedName name="aqb">#REF!</definedName>
    <definedName name="aug">#REF!</definedName>
    <definedName name="AugIndex" localSheetId="0">README!#REF!</definedName>
    <definedName name="AugIndex">#REF!</definedName>
    <definedName name="avrent">#REF!</definedName>
    <definedName name="AWBN" localSheetId="0">README!#REF!</definedName>
    <definedName name="AWBN">#REF!</definedName>
    <definedName name="awnn" localSheetId="0">README!#REF!</definedName>
    <definedName name="awnn">#REF!</definedName>
    <definedName name="axa" localSheetId="0">README!#REF!</definedName>
    <definedName name="axa">#REF!</definedName>
    <definedName name="axb" localSheetId="0">README!#REF!</definedName>
    <definedName name="axb">#REF!</definedName>
    <definedName name="aya" localSheetId="0">README!#REF!</definedName>
    <definedName name="aya">#REF!</definedName>
    <definedName name="ayb" localSheetId="0">README!#REF!</definedName>
    <definedName name="ayb">#REF!</definedName>
    <definedName name="aza" localSheetId="0">README!#REF!</definedName>
    <definedName name="aza">#REF!</definedName>
    <definedName name="azb" localSheetId="0">README!#REF!</definedName>
    <definedName name="azb">#REF!</definedName>
    <definedName name="b" localSheetId="0">README!#REF!</definedName>
    <definedName name="b">#REF!</definedName>
    <definedName name="ban" localSheetId="0">README!#REF!</definedName>
    <definedName name="ban">#REF!</definedName>
    <definedName name="BCAI" localSheetId="0">README!#REF!</definedName>
    <definedName name="BCAI">#REF!</definedName>
    <definedName name="bcn" localSheetId="0">README!#REF!</definedName>
    <definedName name="bcn">#REF!</definedName>
    <definedName name="bdn" localSheetId="0">README!#REF!</definedName>
    <definedName name="bdn">#REF!</definedName>
    <definedName name="ben" localSheetId="0">README!#REF!</definedName>
    <definedName name="ben">#REF!</definedName>
    <definedName name="bfd" localSheetId="0">README!#REF!</definedName>
    <definedName name="bfd">#REF!</definedName>
    <definedName name="BFE" localSheetId="0">README!#REF!</definedName>
    <definedName name="BFE">#REF!</definedName>
    <definedName name="bfn" localSheetId="0">README!#REF!</definedName>
    <definedName name="bfn">#REF!</definedName>
    <definedName name="bhn" localSheetId="0">README!#REF!</definedName>
    <definedName name="bhn">#REF!</definedName>
    <definedName name="bin" localSheetId="0">README!#REF!</definedName>
    <definedName name="bin">#REF!</definedName>
    <definedName name="bjn" localSheetId="0">README!#REF!</definedName>
    <definedName name="bjn">#REF!</definedName>
    <definedName name="bkn" localSheetId="0">README!#REF!</definedName>
    <definedName name="bkn">#REF!</definedName>
    <definedName name="BMGFMELIM1" localSheetId="0">README!#REF!</definedName>
    <definedName name="BMGFMELIM1">#REF!</definedName>
    <definedName name="BMGFMELIM3" localSheetId="0">README!#REF!</definedName>
    <definedName name="BMGFMELIM3">#REF!</definedName>
    <definedName name="bp" localSheetId="0">README!#REF!</definedName>
    <definedName name="bp">#REF!</definedName>
    <definedName name="BRate">#REF!</definedName>
    <definedName name="BRate2">#REF!</definedName>
    <definedName name="BRate40">#REF!</definedName>
    <definedName name="Brate40old">#REF!</definedName>
    <definedName name="BRate44">#REF!</definedName>
    <definedName name="Brate44old">#REF!</definedName>
    <definedName name="BRateOld">#REF!</definedName>
    <definedName name="BRateOld2">#REF!</definedName>
    <definedName name="BREER40">#REF!</definedName>
    <definedName name="BREER40Nurse">#REF!</definedName>
    <definedName name="BREER40NurseOld">#REF!</definedName>
    <definedName name="BREER40old">#REF!</definedName>
    <definedName name="BREER44">#REF!</definedName>
    <definedName name="BREER44old">#REF!</definedName>
    <definedName name="btn" localSheetId="0">README!#REF!</definedName>
    <definedName name="btn">#REF!</definedName>
    <definedName name="budget" localSheetId="0">README!#REF!</definedName>
    <definedName name="budget">#REF!</definedName>
    <definedName name="budget_revision" localSheetId="0">README!#REF!</definedName>
    <definedName name="budget_revision">#REF!</definedName>
    <definedName name="BudgetName" localSheetId="0">README!#REF!</definedName>
    <definedName name="BudgetName">#REF!</definedName>
    <definedName name="budgetYear" localSheetId="0">README!#REF!</definedName>
    <definedName name="budgetYear">#REF!</definedName>
    <definedName name="bun" localSheetId="0">README!#REF!</definedName>
    <definedName name="bun">#REF!</definedName>
    <definedName name="By_Country" localSheetId="0">README!#REF!</definedName>
    <definedName name="By_Country">#REF!</definedName>
    <definedName name="bza" localSheetId="0">README!#REF!</definedName>
    <definedName name="bza">#REF!</definedName>
    <definedName name="bzb" localSheetId="0">README!#REF!</definedName>
    <definedName name="bzb">#REF!</definedName>
    <definedName name="bzn" localSheetId="0">README!#REF!</definedName>
    <definedName name="bzn">#REF!</definedName>
    <definedName name="cafg" localSheetId="0">README!#REF!</definedName>
    <definedName name="cafg">#REF!</definedName>
    <definedName name="cafgn1" localSheetId="0">README!#REF!</definedName>
    <definedName name="cafgn1">#REF!</definedName>
    <definedName name="Cameroon_UN" localSheetId="0">README!#REF!</definedName>
    <definedName name="Cameroon_UN">#REF!</definedName>
    <definedName name="Categories" localSheetId="0">README!#REF!</definedName>
    <definedName name="Categories">#REF!</definedName>
    <definedName name="Categories2" localSheetId="0">README!#REF!</definedName>
    <definedName name="Categories2">#REF!</definedName>
    <definedName name="CATEGORY_TYPE_Summary">#REF!</definedName>
    <definedName name="CATH">#REF!</definedName>
    <definedName name="CD4_Platforms_used" localSheetId="0">README!#REF!</definedName>
    <definedName name="CD4_Platforms_used">#REF!</definedName>
    <definedName name="CDCFHAIT4" localSheetId="0">README!#REF!</definedName>
    <definedName name="CDCFHAIT4">#REF!</definedName>
    <definedName name="cfaeur" localSheetId="0">README!#REF!</definedName>
    <definedName name="cfaeur">#REF!</definedName>
    <definedName name="CHAIMeals" localSheetId="0">README!#REF!</definedName>
    <definedName name="CHAIMeals">#REF!</definedName>
    <definedName name="change_adult_col">#REF!</definedName>
    <definedName name="change_adult_row">#REF!</definedName>
    <definedName name="change_adult_row_range">#REF!</definedName>
    <definedName name="change_trtfail_adult_col">#REF!</definedName>
    <definedName name="change_trtfail_adult_row">#REF!</definedName>
    <definedName name="change_trtfail_adult_row_range">#REF!</definedName>
    <definedName name="chn" localSheetId="0">README!#REF!</definedName>
    <definedName name="chn">#REF!</definedName>
    <definedName name="cin" localSheetId="0">README!#REF!</definedName>
    <definedName name="cin">#REF!</definedName>
    <definedName name="CIS">#REF!</definedName>
    <definedName name="Class">#REF!</definedName>
    <definedName name="Classification" localSheetId="0">README!#REF!</definedName>
    <definedName name="Classification">#REF!</definedName>
    <definedName name="clinic_num_in_col">#REF!</definedName>
    <definedName name="clinic_num_in_row">#REF!</definedName>
    <definedName name="clinics_adult_col">#REF!</definedName>
    <definedName name="clinics_adult_num">#REF!</definedName>
    <definedName name="clinics_adult_row">#REF!</definedName>
    <definedName name="cmn" localSheetId="0">README!#REF!</definedName>
    <definedName name="cmn">#REF!</definedName>
    <definedName name="CNC">#REF!</definedName>
    <definedName name="COA" localSheetId="0">README!#REF!</definedName>
    <definedName name="COA">#REF!</definedName>
    <definedName name="code" localSheetId="0">README!#REF!</definedName>
    <definedName name="code">#REF!</definedName>
    <definedName name="codes" localSheetId="0">README!#REF!</definedName>
    <definedName name="codes">#REF!</definedName>
    <definedName name="cofunding_by_category" localSheetId="0">README!#REF!</definedName>
    <definedName name="cofunding_by_category">#REF!</definedName>
    <definedName name="Commodities">#REF!</definedName>
    <definedName name="Communication_Education">#REF!</definedName>
    <definedName name="Comp" localSheetId="0">README!#REF!</definedName>
    <definedName name="Comp">#REF!</definedName>
    <definedName name="Company" localSheetId="0">README!#REF!</definedName>
    <definedName name="Company">#REF!</definedName>
    <definedName name="components">#REF!</definedName>
    <definedName name="Consultants" localSheetId="0">README!#REF!</definedName>
    <definedName name="Consultants">#REF!</definedName>
    <definedName name="cont" localSheetId="0">README!#REF!</definedName>
    <definedName name="cont">#REF!</definedName>
    <definedName name="Contingency" localSheetId="0">README!#REF!</definedName>
    <definedName name="Contingency">#REF!</definedName>
    <definedName name="Copy" hidden="1">#REF!</definedName>
    <definedName name="CorporateOverhead">#REF!</definedName>
    <definedName name="cost_assumption_sources">#REF!</definedName>
    <definedName name="CostCategories" localSheetId="0">README!#REF!</definedName>
    <definedName name="CostCategories">#REF!</definedName>
    <definedName name="CostCategories2" localSheetId="0">README!#REF!</definedName>
    <definedName name="CostCategories2">#REF!</definedName>
    <definedName name="CostCategories3" localSheetId="0">README!#REF!</definedName>
    <definedName name="CostCategories3">#REF!</definedName>
    <definedName name="Costlist" localSheetId="0">README!#REF!</definedName>
    <definedName name="Costlist">#REF!</definedName>
    <definedName name="CostperKM" localSheetId="0">README!#REF!</definedName>
    <definedName name="CostperKM">#REF!</definedName>
    <definedName name="Country">#REF!</definedName>
    <definedName name="country0_currency" localSheetId="0">README!#REF!</definedName>
    <definedName name="country0_currency">#REF!</definedName>
    <definedName name="country0_dollarlc" localSheetId="0">README!#REF!</definedName>
    <definedName name="country0_dollarlc">#REF!</definedName>
    <definedName name="country1_currency" localSheetId="0">README!#REF!</definedName>
    <definedName name="country1_currency">#REF!</definedName>
    <definedName name="country1_dollarlc" localSheetId="0">README!#REF!</definedName>
    <definedName name="country1_dollarlc">#REF!</definedName>
    <definedName name="country2_currency" localSheetId="0">README!#REF!</definedName>
    <definedName name="country2_currency">#REF!</definedName>
    <definedName name="country2_dollarlc" localSheetId="0">README!#REF!</definedName>
    <definedName name="country2_dollarlc">#REF!</definedName>
    <definedName name="country3_currency" localSheetId="0">README!#REF!</definedName>
    <definedName name="country3_currency">#REF!</definedName>
    <definedName name="country3_dollarlc" localSheetId="0">README!#REF!</definedName>
    <definedName name="country3_dollarlc">#REF!</definedName>
    <definedName name="country4_currency" localSheetId="0">README!#REF!</definedName>
    <definedName name="country4_currency">#REF!</definedName>
    <definedName name="country4_dollarlc" localSheetId="0">README!#REF!</definedName>
    <definedName name="country4_dollarlc">#REF!</definedName>
    <definedName name="country5_currency" localSheetId="0">README!#REF!</definedName>
    <definedName name="country5_currency">#REF!</definedName>
    <definedName name="country5_dollarlc" localSheetId="0">README!#REF!</definedName>
    <definedName name="country5_dollarlc">#REF!</definedName>
    <definedName name="country6_currency" localSheetId="0">README!#REF!</definedName>
    <definedName name="country6_currency">#REF!</definedName>
    <definedName name="country6_dollarlc" localSheetId="0">README!#REF!</definedName>
    <definedName name="country6_dollarlc">#REF!</definedName>
    <definedName name="country7_currency" localSheetId="0">README!#REF!</definedName>
    <definedName name="country7_currency">#REF!</definedName>
    <definedName name="country7_dollarlc" localSheetId="0">README!#REF!</definedName>
    <definedName name="country7_dollarlc">#REF!</definedName>
    <definedName name="country8_currency" localSheetId="0">README!#REF!</definedName>
    <definedName name="country8_currency">#REF!</definedName>
    <definedName name="country8_dollarlc" localSheetId="0">README!#REF!</definedName>
    <definedName name="country8_dollarlc">#REF!</definedName>
    <definedName name="country9_currency" localSheetId="0">README!#REF!</definedName>
    <definedName name="country9_currency">#REF!</definedName>
    <definedName name="country9_dollarlc" localSheetId="0">README!#REF!</definedName>
    <definedName name="country9_dollarlc">#REF!</definedName>
    <definedName name="Countrys" localSheetId="0">README!#REF!</definedName>
    <definedName name="Countrys">#REF!</definedName>
    <definedName name="cpn" localSheetId="0">README!#REF!</definedName>
    <definedName name="cpn">#REF!</definedName>
    <definedName name="cpte">#REF!</definedName>
    <definedName name="cpte1" localSheetId="0">README!#REF!</definedName>
    <definedName name="cpte1">#REF!</definedName>
    <definedName name="cr">"COPYRIGTH © CAPRICE SARL  B.P. : 7523 DOUALA - CAMEROUN  TEL. : 237 950 57 37 / 237 750 15 67 / 237 343 12 52"</definedName>
    <definedName name="Current">#REF!</definedName>
    <definedName name="CurrentA" localSheetId="0">README!#REF!</definedName>
    <definedName name="CurrentA">#REF!</definedName>
    <definedName name="CurrentB" localSheetId="0">README!#REF!</definedName>
    <definedName name="CurrentB">#REF!</definedName>
    <definedName name="CZECH">#REF!</definedName>
    <definedName name="D" localSheetId="0">README!#REF!</definedName>
    <definedName name="D">#REF!</definedName>
    <definedName name="dangerpay" localSheetId="0">README!#REF!</definedName>
    <definedName name="dangerpay">#REF!</definedName>
    <definedName name="dangerpay.expat1" localSheetId="0">README!#REF!</definedName>
    <definedName name="dangerpay.expat1">#REF!</definedName>
    <definedName name="dangerpay.expat10" localSheetId="0">README!#REF!</definedName>
    <definedName name="dangerpay.expat10">#REF!</definedName>
    <definedName name="dangerpay.expat11" localSheetId="0">README!#REF!</definedName>
    <definedName name="dangerpay.expat11">#REF!</definedName>
    <definedName name="dangerpay.expat12" localSheetId="0">README!#REF!</definedName>
    <definedName name="dangerpay.expat12">#REF!</definedName>
    <definedName name="dangerpay.expat2" localSheetId="0">README!#REF!</definedName>
    <definedName name="dangerpay.expat2">#REF!</definedName>
    <definedName name="dangerpay.expat3" localSheetId="0">README!#REF!</definedName>
    <definedName name="dangerpay.expat3">#REF!</definedName>
    <definedName name="dangerpay.expat4" localSheetId="0">README!#REF!</definedName>
    <definedName name="dangerpay.expat4">#REF!</definedName>
    <definedName name="dangerpay.expat5" localSheetId="0">README!#REF!</definedName>
    <definedName name="dangerpay.expat5">#REF!</definedName>
    <definedName name="dangerpay.expat6" localSheetId="0">README!#REF!</definedName>
    <definedName name="dangerpay.expat6">#REF!</definedName>
    <definedName name="dangerpay.expat7" localSheetId="0">README!#REF!</definedName>
    <definedName name="dangerpay.expat7">#REF!</definedName>
    <definedName name="dangerpay.expat8" localSheetId="0">README!#REF!</definedName>
    <definedName name="dangerpay.expat8">#REF!</definedName>
    <definedName name="dangerpay.expat9" localSheetId="0">README!#REF!</definedName>
    <definedName name="dangerpay.expat9">#REF!</definedName>
    <definedName name="dangerpay.intlstaff1" localSheetId="0">README!#REF!</definedName>
    <definedName name="dangerpay.intlstaff1">#REF!</definedName>
    <definedName name="dangerpay.intlstaff10" localSheetId="0">README!#REF!</definedName>
    <definedName name="dangerpay.intlstaff10">#REF!</definedName>
    <definedName name="dangerpay.intlstaff11" localSheetId="0">README!#REF!</definedName>
    <definedName name="dangerpay.intlstaff11">#REF!</definedName>
    <definedName name="dangerpay.intlstaff12" localSheetId="0">README!#REF!</definedName>
    <definedName name="dangerpay.intlstaff12">#REF!</definedName>
    <definedName name="dangerpay.intlstaff13" localSheetId="0">README!#REF!</definedName>
    <definedName name="dangerpay.intlstaff13">#REF!</definedName>
    <definedName name="dangerpay.intlstaff14" localSheetId="0">README!#REF!</definedName>
    <definedName name="dangerpay.intlstaff14">#REF!</definedName>
    <definedName name="dangerpay.intlstaff15" localSheetId="0">README!#REF!</definedName>
    <definedName name="dangerpay.intlstaff15">#REF!</definedName>
    <definedName name="dangerpay.intlstaff2" localSheetId="0">README!#REF!</definedName>
    <definedName name="dangerpay.intlstaff2">#REF!</definedName>
    <definedName name="dangerpay.intlstaff3" localSheetId="0">README!#REF!</definedName>
    <definedName name="dangerpay.intlstaff3">#REF!</definedName>
    <definedName name="dangerpay.intlstaff4" localSheetId="0">README!#REF!</definedName>
    <definedName name="dangerpay.intlstaff4">#REF!</definedName>
    <definedName name="dangerpay.intlstaff5" localSheetId="0">README!#REF!</definedName>
    <definedName name="dangerpay.intlstaff5">#REF!</definedName>
    <definedName name="dangerpay.intlstaff6" localSheetId="0">README!#REF!</definedName>
    <definedName name="dangerpay.intlstaff6">#REF!</definedName>
    <definedName name="dangerpay.intlstaff7" localSheetId="0">README!#REF!</definedName>
    <definedName name="dangerpay.intlstaff7">#REF!</definedName>
    <definedName name="dangerpay.intlstaff8" localSheetId="0">README!#REF!</definedName>
    <definedName name="dangerpay.intlstaff8">#REF!</definedName>
    <definedName name="dangerpay.intlstaff9" localSheetId="0">README!#REF!</definedName>
    <definedName name="dangerpay.intlstaff9">#REF!</definedName>
    <definedName name="dangerpay.researcher" localSheetId="0">README!#REF!</definedName>
    <definedName name="dangerpay.researcher">#REF!</definedName>
    <definedName name="date_range" localSheetId="0">README!#REF!</definedName>
    <definedName name="date_range">#REF!</definedName>
    <definedName name="Date_Table" localSheetId="0">README!#REF!</definedName>
    <definedName name="Date_Table">#REF!</definedName>
    <definedName name="daterange" localSheetId="0">README!#REF!</definedName>
    <definedName name="daterange">#REF!</definedName>
    <definedName name="daterange2" localSheetId="0">README!#REF!</definedName>
    <definedName name="daterange2">#REF!</definedName>
    <definedName name="ddwedewdx3wed">#REF!</definedName>
    <definedName name="dec">#REF!</definedName>
    <definedName name="DecIndex" localSheetId="0">README!#REF!</definedName>
    <definedName name="DecIndex">#REF!</definedName>
    <definedName name="den" localSheetId="0">README!#REF!</definedName>
    <definedName name="den">#REF!</definedName>
    <definedName name="detailed">#REF!</definedName>
    <definedName name="dexo" localSheetId="0">README!#REF!</definedName>
    <definedName name="dexo">#REF!</definedName>
    <definedName name="df">#REF!</definedName>
    <definedName name="DFIDACCESS4" localSheetId="0">README!#REF!</definedName>
    <definedName name="DFIDACCESS4">#REF!</definedName>
    <definedName name="dflk">#REF!</definedName>
    <definedName name="dfn" localSheetId="0">README!#REF!</definedName>
    <definedName name="dfn">#REF!</definedName>
    <definedName name="dhn" localSheetId="0">README!#REF!</definedName>
    <definedName name="dhn">#REF!</definedName>
    <definedName name="din" localSheetId="0">README!#REF!</definedName>
    <definedName name="din">#REF!</definedName>
    <definedName name="Direct">#REF!</definedName>
    <definedName name="DirectStaffCosts">#REF!</definedName>
    <definedName name="DistrictEventAccommodation" localSheetId="0">README!#REF!</definedName>
    <definedName name="DistrictEventAccommodation">#REF!</definedName>
    <definedName name="DistrictFTDinnerRateA" localSheetId="0">README!#REF!</definedName>
    <definedName name="DistrictFTDinnerRateA">#REF!</definedName>
    <definedName name="djn" localSheetId="0">README!#REF!</definedName>
    <definedName name="djn">#REF!</definedName>
    <definedName name="dkn" localSheetId="0">README!#REF!</definedName>
    <definedName name="dkn">#REF!</definedName>
    <definedName name="dln" localSheetId="0">README!#REF!</definedName>
    <definedName name="dln">#REF!</definedName>
    <definedName name="dmn" localSheetId="0">README!#REF!</definedName>
    <definedName name="dmn">#REF!</definedName>
    <definedName name="DollarLC" localSheetId="0">README!#REF!</definedName>
    <definedName name="DollarLC">#REF!</definedName>
    <definedName name="Donor_Status">#REF!</definedName>
    <definedName name="Donors">#REF!</definedName>
    <definedName name="dpn" localSheetId="0">README!#REF!</definedName>
    <definedName name="dpn">#REF!</definedName>
    <definedName name="DriverDailyAllowance" localSheetId="0">README!#REF!</definedName>
    <definedName name="DriverDailyAllowance">#REF!</definedName>
    <definedName name="DriverOvernightAllowance" localSheetId="0">README!#REF!</definedName>
    <definedName name="DriverOvernightAllowance">#REF!</definedName>
    <definedName name="drug_2nd_col">#REF!</definedName>
    <definedName name="drug_2nd_col_range">#REF!</definedName>
    <definedName name="drug_2nd_row">#REF!</definedName>
    <definedName name="drug_adult_in_col">#REF!</definedName>
    <definedName name="drug_adult_in_row">#REF!</definedName>
    <definedName name="drug_adult_in_row_range">#REF!</definedName>
    <definedName name="drug_adult_proj_col">#REF!</definedName>
    <definedName name="drug_adult_proj_row">#REF!</definedName>
    <definedName name="drug_adult_proj_row_range">#REF!</definedName>
    <definedName name="drug_adult_stock_col">#REF!</definedName>
    <definedName name="drug_adult_stock_col_range">#REF!</definedName>
    <definedName name="drug_adult_stock_row">#REF!</definedName>
    <definedName name="drug_adult_stock_row_range">#REF!</definedName>
    <definedName name="drug_comb_output_col">#REF!</definedName>
    <definedName name="drug_comb_output_col_range">#REF!</definedName>
    <definedName name="drug_comb_output_row">#REF!</definedName>
    <definedName name="drug_comb_proj_col">#REF!</definedName>
    <definedName name="drug_comb_proj_col_range">#REF!</definedName>
    <definedName name="drug_comb_proj_row">#REF!</definedName>
    <definedName name="drug_peds_in_col">#REF!</definedName>
    <definedName name="drug_peds_in_row">#REF!</definedName>
    <definedName name="drug_peds_in_row_range">#REF!</definedName>
    <definedName name="drug_peds_proj_col">#REF!</definedName>
    <definedName name="drug_peds_proj_row">#REF!</definedName>
    <definedName name="drug_peds_proj_row_range">#REF!</definedName>
    <definedName name="drug_peds_stock_col">#REF!</definedName>
    <definedName name="drug_peds_stock_col_range">#REF!</definedName>
    <definedName name="drug_peds_stock_row">#REF!</definedName>
    <definedName name="drug1">#REF!</definedName>
    <definedName name="drugs">#REF!</definedName>
    <definedName name="dtn" localSheetId="0">README!#REF!</definedName>
    <definedName name="dtn">#REF!</definedName>
    <definedName name="dun" localSheetId="0">README!#REF!</definedName>
    <definedName name="dun">#REF!</definedName>
    <definedName name="dzn" localSheetId="0">README!#REF!</definedName>
    <definedName name="dzn">#REF!</definedName>
    <definedName name="Economy">#REF!</definedName>
    <definedName name="eduallowance" localSheetId="0">README!#REF!</definedName>
    <definedName name="eduallowance">#REF!</definedName>
    <definedName name="eduallowance.expat1" localSheetId="0">README!#REF!</definedName>
    <definedName name="eduallowance.expat1">#REF!</definedName>
    <definedName name="eduallowance.expat10" localSheetId="0">README!#REF!</definedName>
    <definedName name="eduallowance.expat10">#REF!</definedName>
    <definedName name="eduallowance.expat11" localSheetId="0">README!#REF!</definedName>
    <definedName name="eduallowance.expat11">#REF!</definedName>
    <definedName name="eduallowance.expat12" localSheetId="0">README!#REF!</definedName>
    <definedName name="eduallowance.expat12">#REF!</definedName>
    <definedName name="eduallowance.expat2" localSheetId="0">README!#REF!</definedName>
    <definedName name="eduallowance.expat2">#REF!</definedName>
    <definedName name="eduallowance.expat3" localSheetId="0">README!#REF!</definedName>
    <definedName name="eduallowance.expat3">#REF!</definedName>
    <definedName name="eduallowance.expat4" localSheetId="0">README!#REF!</definedName>
    <definedName name="eduallowance.expat4">#REF!</definedName>
    <definedName name="eduallowance.expat5" localSheetId="0">README!#REF!</definedName>
    <definedName name="eduallowance.expat5">#REF!</definedName>
    <definedName name="eduallowance.expat6" localSheetId="0">README!#REF!</definedName>
    <definedName name="eduallowance.expat6">#REF!</definedName>
    <definedName name="eduallowance.expat7" localSheetId="0">README!#REF!</definedName>
    <definedName name="eduallowance.expat7">#REF!</definedName>
    <definedName name="eduallowance.expat8" localSheetId="0">README!#REF!</definedName>
    <definedName name="eduallowance.expat8">#REF!</definedName>
    <definedName name="eduallowance.expat9" localSheetId="0">README!#REF!</definedName>
    <definedName name="eduallowance.expat9">#REF!</definedName>
    <definedName name="eduallowance.intlstaff2" localSheetId="0">README!#REF!</definedName>
    <definedName name="eduallowance.intlstaff2">#REF!</definedName>
    <definedName name="eduallowance.intlstaff3" localSheetId="0">README!#REF!</definedName>
    <definedName name="eduallowance.intlstaff3">#REF!</definedName>
    <definedName name="eduallowance.intlstaff4" localSheetId="0">README!#REF!</definedName>
    <definedName name="eduallowance.intlstaff4">#REF!</definedName>
    <definedName name="eduallowance.researcher" localSheetId="0">README!#REF!</definedName>
    <definedName name="eduallowance.researcher">#REF!</definedName>
    <definedName name="education.intlstaff1" localSheetId="0">README!#REF!</definedName>
    <definedName name="education.intlstaff1">#REF!</definedName>
    <definedName name="education.intlstaff10" localSheetId="0">README!#REF!</definedName>
    <definedName name="education.intlstaff10">#REF!</definedName>
    <definedName name="education.intlstaff11" localSheetId="0">README!#REF!</definedName>
    <definedName name="education.intlstaff11">#REF!</definedName>
    <definedName name="education.intlstaff12" localSheetId="0">README!#REF!</definedName>
    <definedName name="education.intlstaff12">#REF!</definedName>
    <definedName name="education.intlstaff13" localSheetId="0">README!#REF!</definedName>
    <definedName name="education.intlstaff13">#REF!</definedName>
    <definedName name="education.intlstaff14" localSheetId="0">README!#REF!</definedName>
    <definedName name="education.intlstaff14">#REF!</definedName>
    <definedName name="education.intlstaff15" localSheetId="0">README!#REF!</definedName>
    <definedName name="education.intlstaff15">#REF!</definedName>
    <definedName name="education.intlstaff2" localSheetId="0">README!#REF!</definedName>
    <definedName name="education.intlstaff2">#REF!</definedName>
    <definedName name="education.intlstaff3" localSheetId="0">README!#REF!</definedName>
    <definedName name="education.intlstaff3">#REF!</definedName>
    <definedName name="education.intlstaff4" localSheetId="0">README!#REF!</definedName>
    <definedName name="education.intlstaff4">#REF!</definedName>
    <definedName name="education.intlstaff5" localSheetId="0">README!#REF!</definedName>
    <definedName name="education.intlstaff5">#REF!</definedName>
    <definedName name="education.intlstaff6" localSheetId="0">README!#REF!</definedName>
    <definedName name="education.intlstaff6">#REF!</definedName>
    <definedName name="education.intlstaff7" localSheetId="0">README!#REF!</definedName>
    <definedName name="education.intlstaff7">#REF!</definedName>
    <definedName name="education.intlstaff8" localSheetId="0">README!#REF!</definedName>
    <definedName name="education.intlstaff8">#REF!</definedName>
    <definedName name="education.intlstaff9" localSheetId="0">README!#REF!</definedName>
    <definedName name="education.intlstaff9">#REF!</definedName>
    <definedName name="EMPTY">#REF!</definedName>
    <definedName name="end_date" localSheetId="0">README!#REF!</definedName>
    <definedName name="end_date">#REF!</definedName>
    <definedName name="end_period_1" localSheetId="0">README!#REF!</definedName>
    <definedName name="end_period_1">#REF!</definedName>
    <definedName name="end_period_10" localSheetId="0">README!#REF!</definedName>
    <definedName name="end_period_10">#REF!</definedName>
    <definedName name="end_period_2" localSheetId="0">README!#REF!</definedName>
    <definedName name="end_period_2">#REF!</definedName>
    <definedName name="end_period_3" localSheetId="0">README!#REF!</definedName>
    <definedName name="end_period_3">#REF!</definedName>
    <definedName name="end_period_4" localSheetId="0">README!#REF!</definedName>
    <definedName name="end_period_4">#REF!</definedName>
    <definedName name="end_period_5" localSheetId="0">README!#REF!</definedName>
    <definedName name="end_period_5">#REF!</definedName>
    <definedName name="end_period_6" localSheetId="0">README!#REF!</definedName>
    <definedName name="end_period_6">#REF!</definedName>
    <definedName name="end_period_7" localSheetId="0">README!#REF!</definedName>
    <definedName name="end_period_7">#REF!</definedName>
    <definedName name="end_period_8" localSheetId="0">README!#REF!</definedName>
    <definedName name="end_period_8">#REF!</definedName>
    <definedName name="end_period_9" localSheetId="0">README!#REF!</definedName>
    <definedName name="end_period_9">#REF!</definedName>
    <definedName name="er">#REF!</definedName>
    <definedName name="Eswatini_UN" localSheetId="0">README!#REF!</definedName>
    <definedName name="Eswatini_UN">#REF!</definedName>
    <definedName name="Exchange" localSheetId="0">README!#REF!</definedName>
    <definedName name="Exchange">#REF!</definedName>
    <definedName name="ExchangeRate" localSheetId="0">README!#REF!</definedName>
    <definedName name="ExchangeRate">#REF!</definedName>
    <definedName name="exo" localSheetId="0">README!#REF!</definedName>
    <definedName name="exo">#REF!</definedName>
    <definedName name="exp">#REF!</definedName>
    <definedName name="exp_adult_stock_col">#REF!</definedName>
    <definedName name="exp_adult_stock_col_range">#REF!</definedName>
    <definedName name="exp_adult_stock_row">#REF!</definedName>
    <definedName name="exp_peds_stock_col_range">#REF!</definedName>
    <definedName name="exphoriz_adult_stock_col">#REF!</definedName>
    <definedName name="exphoriz_adult_stock_row">#REF!</definedName>
    <definedName name="expstdt_adult_stock_col">#REF!</definedName>
    <definedName name="expstdt_adult_stock_row">#REF!</definedName>
    <definedName name="expstdtyn_adult_stock_col">#REF!</definedName>
    <definedName name="expstdtyn_adult_stock_row">#REF!</definedName>
    <definedName name="exptsnum_adult_in_col">#REF!</definedName>
    <definedName name="exptsnum_adult_in_row">#REF!</definedName>
    <definedName name="exptsnum_peds_in_col">#REF!</definedName>
    <definedName name="exptsnum_peds_in_row">#REF!</definedName>
    <definedName name="falg" localSheetId="0" hidden="1">{"Yr1",#N/A,FALSE,"Budget Detail";"Yr2",#N/A,FALSE,"Budget Detail";"Yr3",#N/A,FALSE,"Budget Detail";"Yr4",#N/A,FALSE,"Budget Detail";"Yr5",#N/A,FALSE,"Budget Detail";"Total",#N/A,FALSE,"Budget Detail"}</definedName>
    <definedName name="falg" hidden="1">{"Yr1",#N/A,FALSE,"Budget Detail";"Yr2",#N/A,FALSE,"Budget Detail";"Yr3",#N/A,FALSE,"Budget Detail";"Yr4",#N/A,FALSE,"Budget Detail";"Yr5",#N/A,FALSE,"Budget Detail";"Total",#N/A,FALSE,"Budget Detail"}</definedName>
    <definedName name="FAN" localSheetId="0">README!#REF!</definedName>
    <definedName name="FAN">#REF!</definedName>
    <definedName name="FBEN" localSheetId="0">README!#REF!</definedName>
    <definedName name="FBEN">#REF!</definedName>
    <definedName name="FBRN" localSheetId="0">README!#REF!</definedName>
    <definedName name="FBRN">#REF!</definedName>
    <definedName name="FCEN" localSheetId="0">README!#REF!</definedName>
    <definedName name="FCEN">#REF!</definedName>
    <definedName name="FCRN" localSheetId="0">README!#REF!</definedName>
    <definedName name="FCRN">#REF!</definedName>
    <definedName name="FDEN" localSheetId="0">README!#REF!</definedName>
    <definedName name="FDEN">#REF!</definedName>
    <definedName name="FDRN" localSheetId="0">README!#REF!</definedName>
    <definedName name="FDRN">#REF!</definedName>
    <definedName name="FebIndex" localSheetId="0">README!#REF!</definedName>
    <definedName name="FebIndex">#REF!</definedName>
    <definedName name="fexo" localSheetId="0">README!#REF!</definedName>
    <definedName name="fexo">#REF!</definedName>
    <definedName name="FGEN" localSheetId="0">README!#REF!</definedName>
    <definedName name="FGEN">#REF!</definedName>
    <definedName name="FGRN" localSheetId="0">README!#REF!</definedName>
    <definedName name="FGRN">#REF!</definedName>
    <definedName name="fien" localSheetId="0">README!#REF!</definedName>
    <definedName name="fien">#REF!</definedName>
    <definedName name="final" localSheetId="0">README!#REF!</definedName>
    <definedName name="final">#REF!</definedName>
    <definedName name="firn" localSheetId="0">README!#REF!</definedName>
    <definedName name="firn">#REF!</definedName>
    <definedName name="First" localSheetId="0">README!#REF!</definedName>
    <definedName name="First">#REF!</definedName>
    <definedName name="FixedFee" localSheetId="0">README!#REF!</definedName>
    <definedName name="FixedFee">#REF!</definedName>
    <definedName name="fjen" localSheetId="0">README!#REF!</definedName>
    <definedName name="fjen">#REF!</definedName>
    <definedName name="fken" localSheetId="0">README!#REF!</definedName>
    <definedName name="fken">#REF!</definedName>
    <definedName name="fkrn" localSheetId="0">README!#REF!</definedName>
    <definedName name="fkrn">#REF!</definedName>
    <definedName name="flag" localSheetId="0" hidden="1">{"Yr1",#N/A,FALSE,"Budget Detail";"Yr2",#N/A,FALSE,"Budget Detail";"Yr3",#N/A,FALSE,"Budget Detail";"Yr4",#N/A,FALSE,"Budget Detail";"Yr5",#N/A,FALSE,"Budget Detail";"Total",#N/A,FALSE,"Budget Detail"}</definedName>
    <definedName name="flag" hidden="1">{"Yr1",#N/A,FALSE,"Budget Detail";"Yr2",#N/A,FALSE,"Budget Detail";"Yr3",#N/A,FALSE,"Budget Detail";"Yr4",#N/A,FALSE,"Budget Detail";"Yr5",#N/A,FALSE,"Budget Detail";"Total",#N/A,FALSE,"Budget Detail"}</definedName>
    <definedName name="flen" localSheetId="0">README!#REF!</definedName>
    <definedName name="flen">#REF!</definedName>
    <definedName name="Flexibility" localSheetId="0">README!#REF!</definedName>
    <definedName name="Flexibility">#REF!</definedName>
    <definedName name="flrn" localSheetId="0">README!#REF!</definedName>
    <definedName name="flrn">#REF!</definedName>
    <definedName name="fmrn" localSheetId="0">README!#REF!</definedName>
    <definedName name="fmrn">#REF!</definedName>
    <definedName name="fnrn" localSheetId="0">README!#REF!</definedName>
    <definedName name="fnrn">#REF!</definedName>
    <definedName name="fobplus" localSheetId="0">README!#REF!</definedName>
    <definedName name="fobplus">#REF!</definedName>
    <definedName name="Forecast">#REF!</definedName>
    <definedName name="foreigntransferallowance" localSheetId="0">README!#REF!</definedName>
    <definedName name="foreigntransferallowance">#REF!</definedName>
    <definedName name="fpen" localSheetId="0">README!#REF!</definedName>
    <definedName name="fpen">#REF!</definedName>
    <definedName name="fqen" localSheetId="0">README!#REF!</definedName>
    <definedName name="fqen">#REF!</definedName>
    <definedName name="fqrn" localSheetId="0">README!#REF!</definedName>
    <definedName name="fqrn">#REF!</definedName>
    <definedName name="fren" localSheetId="0">README!#REF!</definedName>
    <definedName name="fren">#REF!</definedName>
    <definedName name="fringetype" localSheetId="0">OFFSET(README!#REF!,0,0,COUNTA(README!#REF!),1)</definedName>
    <definedName name="fringetype">OFFSET(#REF!,0,0,COUNTA(#REF!),1)</definedName>
    <definedName name="frrn" localSheetId="0">README!#REF!</definedName>
    <definedName name="frrn">#REF!</definedName>
    <definedName name="fsen" localSheetId="0">README!#REF!</definedName>
    <definedName name="fsen">#REF!</definedName>
    <definedName name="fsrn" localSheetId="0">README!#REF!</definedName>
    <definedName name="fsrn">#REF!</definedName>
    <definedName name="ften" localSheetId="0">README!#REF!</definedName>
    <definedName name="ften">#REF!</definedName>
    <definedName name="FTEs">#REF!</definedName>
    <definedName name="fu" localSheetId="0">README!#REF!</definedName>
    <definedName name="fu">#REF!</definedName>
    <definedName name="FuelCost" localSheetId="0">README!#REF!</definedName>
    <definedName name="FuelCost">#REF!</definedName>
    <definedName name="Fund" localSheetId="0">OFFSET(README!#REF!,0,0,COUNTA(README!#REF!),1)</definedName>
    <definedName name="Fund">OFFSET(#REF!,0,0,COUNTA(#REF!),1)</definedName>
    <definedName name="fund_range" localSheetId="0">README!#REF!</definedName>
    <definedName name="fund_range">#REF!</definedName>
    <definedName name="Funding_Sources" localSheetId="0">README!#REF!</definedName>
    <definedName name="Funding_Sources">#REF!</definedName>
    <definedName name="Funding_Status">#REF!</definedName>
    <definedName name="Funding2" localSheetId="0">README!#REF!</definedName>
    <definedName name="Funding2">#REF!</definedName>
    <definedName name="fundlist3" localSheetId="0">README!#REF!</definedName>
    <definedName name="fundlist3">#REF!</definedName>
    <definedName name="fundrange" localSheetId="0">README!#REF!</definedName>
    <definedName name="fundrange">#REF!</definedName>
    <definedName name="fundrange2" localSheetId="0">README!#REF!</definedName>
    <definedName name="fundrange2">#REF!</definedName>
    <definedName name="FundsSent">#REF!</definedName>
    <definedName name="Furniture">#REF!</definedName>
    <definedName name="Future_ProjectYear">#REF!</definedName>
    <definedName name="fv" localSheetId="0">README!#REF!</definedName>
    <definedName name="fv">#REF!</definedName>
    <definedName name="FW" localSheetId="0">README!#REF!</definedName>
    <definedName name="FW">#REF!</definedName>
    <definedName name="fwe" localSheetId="0">README!#REF!</definedName>
    <definedName name="fwe">#REF!</definedName>
    <definedName name="fwr" localSheetId="0">README!#REF!</definedName>
    <definedName name="fwr">#REF!</definedName>
    <definedName name="FX_Rate" localSheetId="0">README!#REF!</definedName>
    <definedName name="FX_Rate">#REF!</definedName>
    <definedName name="fxrate" localSheetId="0">README!#REF!</definedName>
    <definedName name="fxrate">#REF!</definedName>
    <definedName name="FY">#REF!</definedName>
    <definedName name="FYB" localSheetId="0">README!#REF!</definedName>
    <definedName name="FYB">#REF!</definedName>
    <definedName name="GHS">#REF!</definedName>
    <definedName name="Grant" localSheetId="0">README!#REF!</definedName>
    <definedName name="Grant">#REF!</definedName>
    <definedName name="Grant_Status">#REF!</definedName>
    <definedName name="Grant_Type">#REF!</definedName>
    <definedName name="HCN_Staff">#REF!</definedName>
    <definedName name="Header1" hidden="1">IF(COUNTA(#REF!)=0,0,INDEX(#REF!,MATCH(ROW(#REF!),#REF!,TRUE)))+1</definedName>
    <definedName name="Header2" localSheetId="0" hidden="1">README!#REF!-1 &amp; "." &amp; MAX(1,COUNTA(INDEX(README!#REF!,MATCH(README!#REF!-1,README!#REF!,FALSE)):README!#REF!))</definedName>
    <definedName name="Header2" hidden="1">#REF!-1 &amp; "." &amp; MAX(1,COUNTA(INDEX(#REF!,MATCH(#REF!-1,#REF!,FALSE)):#REF!))</definedName>
    <definedName name="HealthCommodities">#REF!</definedName>
    <definedName name="Historical" localSheetId="0">README!#REF!</definedName>
    <definedName name="Historical">#REF!</definedName>
    <definedName name="HIV">#REF!</definedName>
    <definedName name="House40">#REF!</definedName>
    <definedName name="House40EER">#REF!</definedName>
    <definedName name="House40EERold">#REF!</definedName>
    <definedName name="House40old">#REF!</definedName>
    <definedName name="House44">#REF!</definedName>
    <definedName name="House44EER">#REF!</definedName>
    <definedName name="House44EERold">#REF!</definedName>
    <definedName name="House44old">#REF!</definedName>
    <definedName name="HSS">#REF!</definedName>
    <definedName name="HTML_Control" localSheetId="0">{"'Sheet1'!$A$1:$O$32"}</definedName>
    <definedName name="HTML_Control">{"'Sheet1'!$A$1:$O$32"}</definedName>
    <definedName name="ICR_Admin" localSheetId="0">README!#REF!</definedName>
    <definedName name="ICR_Admin">#REF!</definedName>
    <definedName name="ICR_procurement" localSheetId="0">README!#REF!</definedName>
    <definedName name="ICR_procurement">#REF!</definedName>
    <definedName name="ICR_Sub" localSheetId="0">README!#REF!</definedName>
    <definedName name="ICR_Sub">#REF!</definedName>
    <definedName name="ID">#REF!</definedName>
    <definedName name="IDC_primary" localSheetId="0">README!#REF!</definedName>
    <definedName name="IDC_primary">#REF!</definedName>
    <definedName name="IDC_sub" localSheetId="0">README!#REF!</definedName>
    <definedName name="IDC_sub">#REF!</definedName>
    <definedName name="IDS" localSheetId="0">README!#REF!</definedName>
    <definedName name="IDS">#REF!</definedName>
    <definedName name="imf" localSheetId="0">README!#REF!</definedName>
    <definedName name="imf">#REF!</definedName>
    <definedName name="Income_Alloc">#REF!</definedName>
    <definedName name="Income_Matrix">#REF!</definedName>
    <definedName name="Income_Tab_GIDs">#REF!</definedName>
    <definedName name="Incoterm" localSheetId="0">README!#REF!</definedName>
    <definedName name="Incoterm">#REF!</definedName>
    <definedName name="IncountrySupportCosts">#REF!</definedName>
    <definedName name="Indirect">#REF!</definedName>
    <definedName name="IndirectStaffCosts">#REF!</definedName>
    <definedName name="InitialSetup">#REF!</definedName>
    <definedName name="Intlfringe" localSheetId="0">README!#REF!</definedName>
    <definedName name="Intlfringe">#REF!</definedName>
    <definedName name="IPMA" localSheetId="0">README!#REF!</definedName>
    <definedName name="IPMA">#REF!</definedName>
    <definedName name="JanIndex" localSheetId="0">README!#REF!</definedName>
    <definedName name="JanIndex">#REF!</definedName>
    <definedName name="JanuaryA" localSheetId="0">README!#REF!</definedName>
    <definedName name="JanuaryA">#REF!</definedName>
    <definedName name="JanuaryB" localSheetId="0">README!#REF!</definedName>
    <definedName name="JanuaryB">#REF!</definedName>
    <definedName name="JJJJJJJJJJJJJJJJJJJJJJJJJJJJJJJJ">#REF!</definedName>
    <definedName name="jul">#REF!</definedName>
    <definedName name="JulIndex" localSheetId="0">README!#REF!</definedName>
    <definedName name="JulIndex">#REF!</definedName>
    <definedName name="jun">#REF!</definedName>
    <definedName name="JunIndex" localSheetId="0">README!#REF!</definedName>
    <definedName name="JunIndex">#REF!</definedName>
    <definedName name="Kenya_UN" localSheetId="0">README!#REF!</definedName>
    <definedName name="Kenya_UN">#REF!</definedName>
    <definedName name="LAB_TYPE">#REF!</definedName>
    <definedName name="lak">#REF!</definedName>
    <definedName name="lalkdf">#REF!</definedName>
    <definedName name="Last" localSheetId="0">README!#REF!</definedName>
    <definedName name="Last">#REF!</definedName>
    <definedName name="LawsonColumn" localSheetId="0">README!#REF!</definedName>
    <definedName name="LawsonColumn">#REF!</definedName>
    <definedName name="LawsonList" localSheetId="0">README!#REF!</definedName>
    <definedName name="LawsonList">#REF!</definedName>
    <definedName name="LawsonStart" localSheetId="0">README!#REF!</definedName>
    <definedName name="LawsonStart">#REF!</definedName>
    <definedName name="LawsonUploadNIGaccount">#REF!</definedName>
    <definedName name="LawsonUploadNIGamount">#REF!</definedName>
    <definedName name="LawsonUploadNIGSMCaccount">#REF!</definedName>
    <definedName name="LawsonUploadNIGSMCamount">#REF!</definedName>
    <definedName name="LCU" localSheetId="0">README!#REF!</definedName>
    <definedName name="LCU">#REF!</definedName>
    <definedName name="Legend">#REF!</definedName>
    <definedName name="Lesotho_UN" localSheetId="0">README!#REF!</definedName>
    <definedName name="Lesotho_UN">#REF!</definedName>
    <definedName name="LevelList" localSheetId="0">README!#REF!</definedName>
    <definedName name="LevelList">#REF!</definedName>
    <definedName name="List">#REF!</definedName>
    <definedName name="List_Activities" localSheetId="0">README!#REF!</definedName>
    <definedName name="List_Activities">#REF!</definedName>
    <definedName name="List_ExpenseType" localSheetId="0">README!#REF!</definedName>
    <definedName name="List_ExpenseType">#REF!</definedName>
    <definedName name="List_Objectives" localSheetId="0">README!#REF!</definedName>
    <definedName name="List_Objectives">#REF!</definedName>
    <definedName name="ListofPrograms" localSheetId="0">README!#REF!</definedName>
    <definedName name="ListofPrograms">#REF!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urrency" localSheetId="0">README!#REF!</definedName>
    <definedName name="LocalCurrency">#REF!</definedName>
    <definedName name="localfringe" localSheetId="0">README!#REF!</definedName>
    <definedName name="localfringe">#REF!</definedName>
    <definedName name="localinflation_yr2" localSheetId="0">README!#REF!</definedName>
    <definedName name="localinflation_yr2">#REF!</definedName>
    <definedName name="localinflation_yr3" localSheetId="0">README!#REF!</definedName>
    <definedName name="localinflation_yr3">#REF!</definedName>
    <definedName name="localinflation_yr4" localSheetId="0">README!#REF!</definedName>
    <definedName name="localinflation_yr4">#REF!</definedName>
    <definedName name="localinflation_yr5" localSheetId="0">README!#REF!</definedName>
    <definedName name="localinflation_yr5">#REF!</definedName>
    <definedName name="Logistics">#REF!</definedName>
    <definedName name="lstSSISRollupProduct">#REF!</definedName>
    <definedName name="lstVariance" localSheetId="0">README!#REF!</definedName>
    <definedName name="lstVariance">#REF!</definedName>
    <definedName name="Lvl1Hdr" localSheetId="0">README!#REF!</definedName>
    <definedName name="Lvl1Hdr">#REF!</definedName>
    <definedName name="Lvl2Hdr" localSheetId="0">README!#REF!</definedName>
    <definedName name="Lvl2Hdr">#REF!</definedName>
    <definedName name="Lvl3Hdr" localSheetId="0">README!#REF!</definedName>
    <definedName name="Lvl3Hdr">#REF!</definedName>
    <definedName name="Lvl4Hdr" localSheetId="0">README!#REF!</definedName>
    <definedName name="Lvl4Hdr">#REF!</definedName>
    <definedName name="LvlBottomHdr" localSheetId="0">README!#REF!</definedName>
    <definedName name="LvlBottomHdr">#REF!</definedName>
    <definedName name="LvlTopHdr" localSheetId="0">README!#REF!</definedName>
    <definedName name="LvlTopHdr">#REF!</definedName>
    <definedName name="machingatoLL" localSheetId="0">README!#REF!</definedName>
    <definedName name="machingatoLL">#REF!</definedName>
    <definedName name="Mada_UN" localSheetId="0">README!#REF!</definedName>
    <definedName name="Mada_UN">#REF!</definedName>
    <definedName name="MAL">#REF!</definedName>
    <definedName name="Malawi_UN" localSheetId="0">README!#REF!</definedName>
    <definedName name="Malawi_UN">#REF!</definedName>
    <definedName name="MarIndex" localSheetId="0">README!#REF!</definedName>
    <definedName name="MarIndex">#REF!</definedName>
    <definedName name="Marketing">#REF!</definedName>
    <definedName name="mats">#REF!</definedName>
    <definedName name="may">#REF!</definedName>
    <definedName name="MayIndex" localSheetId="0">README!#REF!</definedName>
    <definedName name="MayIndex">#REF!</definedName>
    <definedName name="MB40EER">#REF!</definedName>
    <definedName name="MB40EERold">#REF!</definedName>
    <definedName name="MB40old">#REF!</definedName>
    <definedName name="MB44EER">#REF!</definedName>
    <definedName name="MB44EERold">#REF!</definedName>
    <definedName name="MB44old">#REF!</definedName>
    <definedName name="MBP" localSheetId="0">README!#REF!</definedName>
    <definedName name="MBP">#REF!</definedName>
    <definedName name="mc">#REF!</definedName>
    <definedName name="MCH">#REF!</definedName>
    <definedName name="md">#REF!</definedName>
    <definedName name="Meals40">#REF!</definedName>
    <definedName name="Meals40EER">#REF!</definedName>
    <definedName name="Meals40EERold">#REF!</definedName>
    <definedName name="Meals40old">#REF!</definedName>
    <definedName name="Meals44">#REF!</definedName>
    <definedName name="Meals44EER">#REF!</definedName>
    <definedName name="Meals44EERold">#REF!</definedName>
    <definedName name="Meals44old">#REF!</definedName>
    <definedName name="medevac" localSheetId="0">README!#REF!</definedName>
    <definedName name="medevac">#REF!</definedName>
    <definedName name="MEDSEEE">#REF!</definedName>
    <definedName name="meetcost">#REF!+#REF!</definedName>
    <definedName name="MEP">#REF!</definedName>
    <definedName name="MHR" localSheetId="0">README!#REF!</definedName>
    <definedName name="MHR">#REF!</definedName>
    <definedName name="MNMNAM15" localSheetId="0">README!#REF!</definedName>
    <definedName name="MNMNAM15">#REF!</definedName>
    <definedName name="molecules" localSheetId="0">README!#REF!</definedName>
    <definedName name="molecules">#REF!</definedName>
    <definedName name="month">#REF!</definedName>
    <definedName name="Month_List" localSheetId="0">README!#REF!</definedName>
    <definedName name="Month_List">#REF!</definedName>
    <definedName name="MonthIndex" localSheetId="0">README!#REF!</definedName>
    <definedName name="MonthIndex">#REF!</definedName>
    <definedName name="Moz_UN" localSheetId="0">README!#REF!</definedName>
    <definedName name="Moz_UN">#REF!</definedName>
    <definedName name="multiple_funders" localSheetId="0">README!#REF!</definedName>
    <definedName name="multiple_funders">#REF!</definedName>
    <definedName name="multiple_outcomes" localSheetId="0">README!#REF!</definedName>
    <definedName name="multiple_outcomes">#REF!</definedName>
    <definedName name="Myanmar_UN" localSheetId="0">README!#REF!</definedName>
    <definedName name="Myanmar_UN">#REF!</definedName>
    <definedName name="MyList">#REF!</definedName>
    <definedName name="mzimbaNtoLL" localSheetId="0">README!#REF!</definedName>
    <definedName name="mzimbaNtoLL">#REF!</definedName>
    <definedName name="NAFA">#REF!</definedName>
    <definedName name="name" localSheetId="0">README!#REF!</definedName>
    <definedName name="name">#REF!</definedName>
    <definedName name="names">#REF!</definedName>
    <definedName name="NewHC" localSheetId="0">README!#REF!</definedName>
    <definedName name="NewHC">#REF!</definedName>
    <definedName name="NICRA_Sub" localSheetId="0" hidden="1">README!#REF!</definedName>
    <definedName name="NICRA_Sub" hidden="1">#REF!</definedName>
    <definedName name="Nigeria_UN" localSheetId="0">README!#REF!</definedName>
    <definedName name="Nigeria_UN">#REF!</definedName>
    <definedName name="nmois" localSheetId="0">README!#REF!</definedName>
    <definedName name="nmois">#REF!</definedName>
    <definedName name="NN">#REF!</definedName>
    <definedName name="No" localSheetId="0">README!#REF!</definedName>
    <definedName name="No">#REF!</definedName>
    <definedName name="NoAddtl.Dim" localSheetId="0">README!#REF!</definedName>
    <definedName name="NoAddtl.Dim">#REF!</definedName>
    <definedName name="NoDim" localSheetId="0">README!#REF!</definedName>
    <definedName name="NoDim">#REF!</definedName>
    <definedName name="Not_Contracted">#REF!</definedName>
    <definedName name="nov">#REF!</definedName>
    <definedName name="NovIndex" localSheetId="0">README!#REF!</definedName>
    <definedName name="NovIndex">#REF!</definedName>
    <definedName name="oct">#REF!</definedName>
    <definedName name="OctIndex" localSheetId="0">README!#REF!</definedName>
    <definedName name="OctIndex">#REF!</definedName>
    <definedName name="ODCs" localSheetId="0">README!#REF!</definedName>
    <definedName name="ODCs">#REF!</definedName>
    <definedName name="OnTrack">#REF!</definedName>
    <definedName name="OperatingCosts">#REF!</definedName>
    <definedName name="org_name" localSheetId="0">README!#REF!</definedName>
    <definedName name="org_name">#REF!</definedName>
    <definedName name="orgrange" localSheetId="0">README!#REF!</definedName>
    <definedName name="orgrange">#REF!</definedName>
    <definedName name="OTH">#REF!</definedName>
    <definedName name="OtherThanProcurement">#REF!</definedName>
    <definedName name="Outcome_Output_List" localSheetId="0">README!#REF!:INDEX(README!#REF!,COUNTA(README!#REF!),1)</definedName>
    <definedName name="Outcome_Output_List">#REF!:INDEX(#REF!,COUNTA(#REF!),1)</definedName>
    <definedName name="Outcomes" localSheetId="0">README!#REF!</definedName>
    <definedName name="Outcomes">#REF!</definedName>
    <definedName name="OutcomesPlus" localSheetId="0">README!#REF!</definedName>
    <definedName name="OutcomesPlus">#REF!</definedName>
    <definedName name="Output" localSheetId="0">README!#REF!</definedName>
    <definedName name="Output">#REF!</definedName>
    <definedName name="Outputs" localSheetId="0">README!#REF!</definedName>
    <definedName name="Outputs">#REF!</definedName>
    <definedName name="OVH">#REF!</definedName>
    <definedName name="p" localSheetId="0">README!#REF!</definedName>
    <definedName name="p">#REF!</definedName>
    <definedName name="P1_months" localSheetId="0">README!#REF!</definedName>
    <definedName name="P1_months">#REF!</definedName>
    <definedName name="P2_months" localSheetId="0">README!#REF!</definedName>
    <definedName name="P2_months">#REF!</definedName>
    <definedName name="PA_Fee_Rate" localSheetId="0">README!#REF!</definedName>
    <definedName name="PA_Fee_Rate">#REF!</definedName>
    <definedName name="Packaging">#REF!</definedName>
    <definedName name="PAnew" localSheetId="0">README!#REF!</definedName>
    <definedName name="PAnew">#REF!</definedName>
    <definedName name="partairfare">#REF!</definedName>
    <definedName name="partground">#REF!</definedName>
    <definedName name="partlodg">#REF!</definedName>
    <definedName name="partmeals">#REF!</definedName>
    <definedName name="parttransp">#REF!</definedName>
    <definedName name="PayCalc">#REF!</definedName>
    <definedName name="PayCalc2">#REF!</definedName>
    <definedName name="PayCalc3">#REF!</definedName>
    <definedName name="PayCalc4">#REF!</definedName>
    <definedName name="PCAI" localSheetId="0">README!#REF!</definedName>
    <definedName name="PCAI">#REF!</definedName>
    <definedName name="pcr_enfant" localSheetId="0">README!#REF!</definedName>
    <definedName name="pcr_enfant">#REF!</definedName>
    <definedName name="peds2010" localSheetId="0">README!#REF!</definedName>
    <definedName name="peds2010">#REF!</definedName>
    <definedName name="period_begin" localSheetId="0">README!#REF!</definedName>
    <definedName name="period_begin">#REF!</definedName>
    <definedName name="period_end" localSheetId="0">README!#REF!</definedName>
    <definedName name="period_end">#REF!</definedName>
    <definedName name="periodbegin" localSheetId="0">README!#REF!</definedName>
    <definedName name="periodbegin">#REF!</definedName>
    <definedName name="periodend" localSheetId="0">README!#REF!</definedName>
    <definedName name="periodend">#REF!</definedName>
    <definedName name="PFE" localSheetId="0">README!#REF!</definedName>
    <definedName name="PFE">#REF!</definedName>
    <definedName name="phalombetoLL" localSheetId="0">README!#REF!</definedName>
    <definedName name="phalombetoLL">#REF!</definedName>
    <definedName name="Pharmaceutical_products" localSheetId="0">README!#REF!</definedName>
    <definedName name="Pharmaceutical_products">#REF!</definedName>
    <definedName name="Phase1" localSheetId="0">README!#REF!</definedName>
    <definedName name="Phase1">#REF!</definedName>
    <definedName name="pig" localSheetId="0" hidden="1">{"Yr1",#N/A,FALSE,"Budget Detail";"Yr2",#N/A,FALSE,"Budget Detail";"Yr3",#N/A,FALSE,"Budget Detail";"Yr4",#N/A,FALSE,"Budget Detail";"Yr5",#N/A,FALSE,"Budget Detail";"Total",#N/A,FALSE,"Budget Detail"}</definedName>
    <definedName name="pig" hidden="1">{"Yr1",#N/A,FALSE,"Budget Detail";"Yr2",#N/A,FALSE,"Budget Detail";"Yr3",#N/A,FALSE,"Budget Detail";"Yr4",#N/A,FALSE,"Budget Detail";"Yr5",#N/A,FALSE,"Budget Detail";"Total",#N/A,FALSE,"Budget Detail"}</definedName>
    <definedName name="PIHBudget" localSheetId="0">README!#REF!</definedName>
    <definedName name="PIHBudget">#REF!</definedName>
    <definedName name="position" localSheetId="0">README!#REF!</definedName>
    <definedName name="position">#REF!</definedName>
    <definedName name="postallowance" localSheetId="0">README!#REF!</definedName>
    <definedName name="postallowance">#REF!</definedName>
    <definedName name="postallowance.expat1" localSheetId="0">README!#REF!</definedName>
    <definedName name="postallowance.expat1">#REF!</definedName>
    <definedName name="postallowance.expat10" localSheetId="0">README!#REF!</definedName>
    <definedName name="postallowance.expat10">#REF!</definedName>
    <definedName name="postallowance.expat11" localSheetId="0">README!#REF!</definedName>
    <definedName name="postallowance.expat11">#REF!</definedName>
    <definedName name="postallowance.expat12" localSheetId="0">README!#REF!</definedName>
    <definedName name="postallowance.expat12">#REF!</definedName>
    <definedName name="postallowance.expat2" localSheetId="0">README!#REF!</definedName>
    <definedName name="postallowance.expat2">#REF!</definedName>
    <definedName name="postallowance.expat3" localSheetId="0">README!#REF!</definedName>
    <definedName name="postallowance.expat3">#REF!</definedName>
    <definedName name="postallowance.expat4" localSheetId="0">README!#REF!</definedName>
    <definedName name="postallowance.expat4">#REF!</definedName>
    <definedName name="postallowance.expat5" localSheetId="0">README!#REF!</definedName>
    <definedName name="postallowance.expat5">#REF!</definedName>
    <definedName name="postallowance.expat6" localSheetId="0">README!#REF!</definedName>
    <definedName name="postallowance.expat6">#REF!</definedName>
    <definedName name="postallowance.expat7" localSheetId="0">README!#REF!</definedName>
    <definedName name="postallowance.expat7">#REF!</definedName>
    <definedName name="postallowance.expat8" localSheetId="0">README!#REF!</definedName>
    <definedName name="postallowance.expat8">#REF!</definedName>
    <definedName name="postallowance.expat9" localSheetId="0">README!#REF!</definedName>
    <definedName name="postallowance.expat9">#REF!</definedName>
    <definedName name="postallowance.intlstaff1" localSheetId="0">README!#REF!</definedName>
    <definedName name="postallowance.intlstaff1">#REF!</definedName>
    <definedName name="postallowance.intlstaff10" localSheetId="0">README!#REF!</definedName>
    <definedName name="postallowance.intlstaff10">#REF!</definedName>
    <definedName name="postallowance.intlstaff11" localSheetId="0">README!#REF!</definedName>
    <definedName name="postallowance.intlstaff11">#REF!</definedName>
    <definedName name="postallowance.intlstaff12" localSheetId="0">README!#REF!</definedName>
    <definedName name="postallowance.intlstaff12">#REF!</definedName>
    <definedName name="postallowance.intlstaff13" localSheetId="0">README!#REF!</definedName>
    <definedName name="postallowance.intlstaff13">#REF!</definedName>
    <definedName name="postallowance.intlstaff14" localSheetId="0">README!#REF!</definedName>
    <definedName name="postallowance.intlstaff14">#REF!</definedName>
    <definedName name="postallowance.intlstaff15" localSheetId="0">README!#REF!</definedName>
    <definedName name="postallowance.intlstaff15">#REF!</definedName>
    <definedName name="postallowance.intlstaff2" localSheetId="0">README!#REF!</definedName>
    <definedName name="postallowance.intlstaff2">#REF!</definedName>
    <definedName name="postallowance.intlstaff3" localSheetId="0">README!#REF!</definedName>
    <definedName name="postallowance.intlstaff3">#REF!</definedName>
    <definedName name="postallowance.intlstaff4" localSheetId="0">README!#REF!</definedName>
    <definedName name="postallowance.intlstaff4">#REF!</definedName>
    <definedName name="postallowance.intlstaff5" localSheetId="0">README!#REF!</definedName>
    <definedName name="postallowance.intlstaff5">#REF!</definedName>
    <definedName name="postallowance.intlstaff6" localSheetId="0">README!#REF!</definedName>
    <definedName name="postallowance.intlstaff6">#REF!</definedName>
    <definedName name="postallowance.intlstaff7" localSheetId="0">README!#REF!</definedName>
    <definedName name="postallowance.intlstaff7">#REF!</definedName>
    <definedName name="postallowance.intlstaff8" localSheetId="0">README!#REF!</definedName>
    <definedName name="postallowance.intlstaff8">#REF!</definedName>
    <definedName name="postallowance.intlstaff9" localSheetId="0">README!#REF!</definedName>
    <definedName name="postallowance.intlstaff9">#REF!</definedName>
    <definedName name="postallowance.researcher" localSheetId="0">README!#REF!</definedName>
    <definedName name="postallowance.researcher">#REF!</definedName>
    <definedName name="postdifferential" localSheetId="0">README!#REF!</definedName>
    <definedName name="postdifferential">#REF!</definedName>
    <definedName name="postdifferential.expat1" localSheetId="0">README!#REF!</definedName>
    <definedName name="postdifferential.expat1">#REF!</definedName>
    <definedName name="postdifferential.expat10" localSheetId="0">README!#REF!</definedName>
    <definedName name="postdifferential.expat10">#REF!</definedName>
    <definedName name="postdifferential.expat11" localSheetId="0">README!#REF!</definedName>
    <definedName name="postdifferential.expat11">#REF!</definedName>
    <definedName name="postdifferential.expat12" localSheetId="0">README!#REF!</definedName>
    <definedName name="postdifferential.expat12">#REF!</definedName>
    <definedName name="postdifferential.expat2" localSheetId="0">README!#REF!</definedName>
    <definedName name="postdifferential.expat2">#REF!</definedName>
    <definedName name="postdifferential.expat3" localSheetId="0">README!#REF!</definedName>
    <definedName name="postdifferential.expat3">#REF!</definedName>
    <definedName name="postdifferential.expat4" localSheetId="0">README!#REF!</definedName>
    <definedName name="postdifferential.expat4">#REF!</definedName>
    <definedName name="postdifferential.expat5" localSheetId="0">README!#REF!</definedName>
    <definedName name="postdifferential.expat5">#REF!</definedName>
    <definedName name="postdifferential.expat6" localSheetId="0">README!#REF!</definedName>
    <definedName name="postdifferential.expat6">#REF!</definedName>
    <definedName name="postdifferential.expat7" localSheetId="0">README!#REF!</definedName>
    <definedName name="postdifferential.expat7">#REF!</definedName>
    <definedName name="postdifferential.expat8" localSheetId="0">README!#REF!</definedName>
    <definedName name="postdifferential.expat8">#REF!</definedName>
    <definedName name="postdifferential.expat9" localSheetId="0">README!#REF!</definedName>
    <definedName name="postdifferential.expat9">#REF!</definedName>
    <definedName name="postdifferential.intlstaff1" localSheetId="0">README!#REF!</definedName>
    <definedName name="postdifferential.intlstaff1">#REF!</definedName>
    <definedName name="postdifferential.intlstaff10" localSheetId="0">README!#REF!</definedName>
    <definedName name="postdifferential.intlstaff10">#REF!</definedName>
    <definedName name="postdifferential.intlstaff11" localSheetId="0">README!#REF!</definedName>
    <definedName name="postdifferential.intlstaff11">#REF!</definedName>
    <definedName name="postdifferential.intlstaff12" localSheetId="0">README!#REF!</definedName>
    <definedName name="postdifferential.intlstaff12">#REF!</definedName>
    <definedName name="postdifferential.intlstaff13" localSheetId="0">README!#REF!</definedName>
    <definedName name="postdifferential.intlstaff13">#REF!</definedName>
    <definedName name="postdifferential.intlstaff14" localSheetId="0">README!#REF!</definedName>
    <definedName name="postdifferential.intlstaff14">#REF!</definedName>
    <definedName name="postdifferential.intlstaff15" localSheetId="0">README!#REF!</definedName>
    <definedName name="postdifferential.intlstaff15">#REF!</definedName>
    <definedName name="postdifferential.intlstaff2" localSheetId="0">README!#REF!</definedName>
    <definedName name="postdifferential.intlstaff2">#REF!</definedName>
    <definedName name="postdifferential.intlstaff3" localSheetId="0">README!#REF!</definedName>
    <definedName name="postdifferential.intlstaff3">#REF!</definedName>
    <definedName name="postdifferential.intlstaff4" localSheetId="0">README!#REF!</definedName>
    <definedName name="postdifferential.intlstaff4">#REF!</definedName>
    <definedName name="postdifferential.intlstaff5" localSheetId="0">README!#REF!</definedName>
    <definedName name="postdifferential.intlstaff5">#REF!</definedName>
    <definedName name="postdifferential.intlstaff6" localSheetId="0">README!#REF!</definedName>
    <definedName name="postdifferential.intlstaff6">#REF!</definedName>
    <definedName name="postdifferential.intlstaff7" localSheetId="0">README!#REF!</definedName>
    <definedName name="postdifferential.intlstaff7">#REF!</definedName>
    <definedName name="postdifferential.intlstaff8" localSheetId="0">README!#REF!</definedName>
    <definedName name="postdifferential.intlstaff8">#REF!</definedName>
    <definedName name="postdifferential.intlstaff9" localSheetId="0">README!#REF!</definedName>
    <definedName name="postdifferential.intlstaff9">#REF!</definedName>
    <definedName name="postdifferential.researcher" localSheetId="0">README!#REF!</definedName>
    <definedName name="postdifferential.researcher">#REF!</definedName>
    <definedName name="ppr_adult_col">#REF!</definedName>
    <definedName name="ppr_adult_col_range">#REF!</definedName>
    <definedName name="ppr_adult_row">#REF!</definedName>
    <definedName name="Pre_ProjectYear">#REF!</definedName>
    <definedName name="print">#REF!</definedName>
    <definedName name="PrintCost" localSheetId="0">README!#REF!</definedName>
    <definedName name="PrintCost">#REF!</definedName>
    <definedName name="Procurement" localSheetId="0">README!#REF!</definedName>
    <definedName name="Procurement">#REF!</definedName>
    <definedName name="Procurementfee" localSheetId="0">README!#REF!</definedName>
    <definedName name="Procurementfee">#REF!</definedName>
    <definedName name="Product">#REF!</definedName>
    <definedName name="Program">#REF!</definedName>
    <definedName name="Program_Cluster" localSheetId="0">README!#REF!</definedName>
    <definedName name="Program_Cluster">#REF!</definedName>
    <definedName name="ProgramList" localSheetId="0">README!#REF!</definedName>
    <definedName name="ProgramList">#REF!</definedName>
    <definedName name="Programs" localSheetId="0">README!#REF!</definedName>
    <definedName name="Programs">#REF!</definedName>
    <definedName name="ProgramsList" localSheetId="0">README!#REF!</definedName>
    <definedName name="ProgramsList">#REF!</definedName>
    <definedName name="ProgramTargets" localSheetId="0">README!#REF!</definedName>
    <definedName name="ProgramTargets">#REF!</definedName>
    <definedName name="ProjAlloc" localSheetId="0">README!#REF!</definedName>
    <definedName name="ProjAlloc">#REF!</definedName>
    <definedName name="Project">#REF!</definedName>
    <definedName name="Project_Category" localSheetId="0">README!#REF!</definedName>
    <definedName name="Project_Category">#REF!</definedName>
    <definedName name="ProjectOption">#REF!</definedName>
    <definedName name="proph_arv_2" localSheetId="0">README!#REF!</definedName>
    <definedName name="proph_arv_2">#REF!</definedName>
    <definedName name="proph_cotrim_dp" localSheetId="0">README!#REF!</definedName>
    <definedName name="proph_cotrim_dp">#REF!</definedName>
    <definedName name="proph_cotrim_nodp" localSheetId="0">README!#REF!</definedName>
    <definedName name="proph_cotrim_nodp">#REF!</definedName>
    <definedName name="PSIw_Staff">#REF!</definedName>
    <definedName name="purpose" localSheetId="0">README!#REF!</definedName>
    <definedName name="purpose">#REF!</definedName>
    <definedName name="q" hidden="1">#REF!</definedName>
    <definedName name="qqqqqqqqqqqqqqqqq" localSheetId="0">README!#REF!</definedName>
    <definedName name="qqqqqqqqqqqqqqqqq">#REF!</definedName>
    <definedName name="quart_num_in_col">#REF!</definedName>
    <definedName name="quart_num_in_row">#REF!</definedName>
    <definedName name="Quarters" localSheetId="0">README!#REF!</definedName>
    <definedName name="Quarters">#REF!</definedName>
    <definedName name="QuartersYR1" localSheetId="0">README!#REF!</definedName>
    <definedName name="QuartersYR1">#REF!</definedName>
    <definedName name="QuartersYR2" localSheetId="0">README!#REF!</definedName>
    <definedName name="QuartersYR2">#REF!</definedName>
    <definedName name="RAN" localSheetId="0">README!#REF!</definedName>
    <definedName name="RAN">#REF!</definedName>
    <definedName name="rate" localSheetId="0">README!#REF!</definedName>
    <definedName name="rate">#REF!</definedName>
    <definedName name="rbn" localSheetId="0">README!#REF!</definedName>
    <definedName name="rbn">#REF!</definedName>
    <definedName name="rcn" localSheetId="0">README!#REF!</definedName>
    <definedName name="rcn">#REF!</definedName>
    <definedName name="rdn" localSheetId="0">README!#REF!</definedName>
    <definedName name="rdn">#REF!</definedName>
    <definedName name="Reg">#REF!</definedName>
    <definedName name="reg_adult_in_col">#REF!</definedName>
    <definedName name="reg_adult_in_row">#REF!</definedName>
    <definedName name="reg_adult_in_row_range">#REF!</definedName>
    <definedName name="reg_adult_pt_col">#REF!</definedName>
    <definedName name="reg_adult_pt_row">#REF!</definedName>
    <definedName name="reg_adult_pt_row_range">#REF!</definedName>
    <definedName name="reg_peds_in_col">#REF!</definedName>
    <definedName name="reg_peds_in_row">#REF!</definedName>
    <definedName name="reg_peds_in_row_range">#REF!</definedName>
    <definedName name="reg_peds_pt_col">#REF!</definedName>
    <definedName name="reg_peds_pt_row">#REF!</definedName>
    <definedName name="reg_peds_pt_row_range">#REF!</definedName>
    <definedName name="Reg_stat">#REF!</definedName>
    <definedName name="Region">#REF!</definedName>
    <definedName name="Regions">#REF!</definedName>
    <definedName name="Regs">#REF!</definedName>
    <definedName name="ren" localSheetId="0">README!#REF!</definedName>
    <definedName name="ren">#REF!</definedName>
    <definedName name="Replacement">#REF!</definedName>
    <definedName name="Replacing">#REF!</definedName>
    <definedName name="ReportDate" localSheetId="0">README!#REF!</definedName>
    <definedName name="ReportDate">#REF!</definedName>
    <definedName name="Research_Evaluation">#REF!</definedName>
    <definedName name="rfa" localSheetId="0" hidden="1">{"Yr1",#N/A,FALSE,"Budget Detail";"Yr2",#N/A,FALSE,"Budget Detail";"Yr3",#N/A,FALSE,"Budget Detail";"Yr4",#N/A,FALSE,"Budget Detail";"Yr5",#N/A,FALSE,"Budget Detail";"Total",#N/A,FALSE,"Budget Detail"}</definedName>
    <definedName name="rfa" hidden="1">{"Yr1",#N/A,FALSE,"Budget Detail";"Yr2",#N/A,FALSE,"Budget Detail";"Yr3",#N/A,FALSE,"Budget Detail";"Yr4",#N/A,FALSE,"Budget Detail";"Yr5",#N/A,FALSE,"Budget Detail";"Total",#N/A,FALSE,"Budget Detail"}</definedName>
    <definedName name="rhn" localSheetId="0">README!#REF!</definedName>
    <definedName name="rhn">#REF!</definedName>
    <definedName name="rin" localSheetId="0">README!#REF!</definedName>
    <definedName name="rin">#REF!</definedName>
    <definedName name="rjn" localSheetId="0">README!#REF!</definedName>
    <definedName name="rjn">#REF!</definedName>
    <definedName name="rkn" localSheetId="0">README!#REF!</definedName>
    <definedName name="rkn">#REF!</definedName>
    <definedName name="rln" localSheetId="0">README!#REF!</definedName>
    <definedName name="rln">#REF!</definedName>
    <definedName name="roomrent">#REF!</definedName>
    <definedName name="rpn" localSheetId="0">README!#REF!</definedName>
    <definedName name="rpn">#REF!</definedName>
    <definedName name="rs" localSheetId="0">README!#REF!</definedName>
    <definedName name="rs">#REF!</definedName>
    <definedName name="rsn" localSheetId="0">README!#REF!</definedName>
    <definedName name="rsn">#REF!</definedName>
    <definedName name="RUSSIA">#REF!</definedName>
    <definedName name="rwn" localSheetId="0">README!#REF!</definedName>
    <definedName name="rwn">#REF!</definedName>
    <definedName name="SA_UN" localSheetId="0">README!#REF!</definedName>
    <definedName name="SA_UN">#REF!</definedName>
    <definedName name="Sampling_Testing">#REF!</definedName>
    <definedName name="san" localSheetId="0">README!#REF!</definedName>
    <definedName name="san">#REF!</definedName>
    <definedName name="scale_adult_in_col">#REF!</definedName>
    <definedName name="scale_adult_in_row">#REF!</definedName>
    <definedName name="scale_adult_in_row2">#REF!</definedName>
    <definedName name="scale_peds_in_col">#REF!</definedName>
    <definedName name="scale_peds_in_row">#REF!</definedName>
    <definedName name="scn" localSheetId="0">README!#REF!</definedName>
    <definedName name="scn">#REF!</definedName>
    <definedName name="sd" localSheetId="0">README!#REF!</definedName>
    <definedName name="sd">#REF!</definedName>
    <definedName name="sdf" localSheetId="0">README!#REF!</definedName>
    <definedName name="sdf">#REF!</definedName>
    <definedName name="sdfdsaf">#REF!</definedName>
    <definedName name="sdkj">#REF!</definedName>
    <definedName name="sdn" localSheetId="0">README!#REF!</definedName>
    <definedName name="sdn">#REF!</definedName>
    <definedName name="secondline" localSheetId="0">README!#REF!</definedName>
    <definedName name="secondline">#REF!</definedName>
    <definedName name="Section_1._Testing">#REF!</definedName>
    <definedName name="Sections">#REF!</definedName>
    <definedName name="sep">#REF!</definedName>
    <definedName name="SepIndex" localSheetId="0">README!#REF!</definedName>
    <definedName name="SepIndex">#REF!</definedName>
    <definedName name="Severance" localSheetId="0">README!#REF!</definedName>
    <definedName name="Severance">#REF!</definedName>
    <definedName name="sfc">#REF!</definedName>
    <definedName name="sfd">#REF!</definedName>
    <definedName name="sfn" localSheetId="0">README!#REF!</definedName>
    <definedName name="sfn">#REF!</definedName>
    <definedName name="Shared_Office_Accounts" localSheetId="0">README!#REF!</definedName>
    <definedName name="Shared_Office_Accounts">#REF!</definedName>
    <definedName name="Shipping">#REF!</definedName>
    <definedName name="Shipping_Rate" localSheetId="0">README!#REF!</definedName>
    <definedName name="Shipping_Rate">#REF!</definedName>
    <definedName name="Shipping_Rate1" localSheetId="0">README!#REF!</definedName>
    <definedName name="Shipping_Rate1">#REF!</definedName>
    <definedName name="shn" localSheetId="0">README!#REF!</definedName>
    <definedName name="shn">#REF!</definedName>
    <definedName name="sic">#REF!</definedName>
    <definedName name="sid">#REF!</definedName>
    <definedName name="SIGLE" localSheetId="0">README!#REF!</definedName>
    <definedName name="SIGLE">#REF!</definedName>
    <definedName name="Site" localSheetId="0">OFFSET(README!#REF!,0,0,COUNTA(README!#REF!),1)</definedName>
    <definedName name="Site">OFFSET(#REF!,0,0,COUNTA(#REF!),1)</definedName>
    <definedName name="SiteAndDistrict" localSheetId="0">README!#REF!</definedName>
    <definedName name="SiteAndDistrict">#REF!</definedName>
    <definedName name="SiteCodeDistrict" localSheetId="0">README!#REF!</definedName>
    <definedName name="SiteCodeDistrict">#REF!</definedName>
    <definedName name="Sites" localSheetId="0">README!#REF!</definedName>
    <definedName name="Sites">#REF!</definedName>
    <definedName name="Sites2" localSheetId="0">README!#REF!</definedName>
    <definedName name="Sites2">#REF!</definedName>
    <definedName name="Sites3" localSheetId="0">README!#REF!</definedName>
    <definedName name="Sites3">#REF!</definedName>
    <definedName name="SitesAndDistrict4" localSheetId="0">README!#REF!</definedName>
    <definedName name="SitesAndDistrict4">#REF!</definedName>
    <definedName name="SitesandDistricts3" localSheetId="0">README!#REF!</definedName>
    <definedName name="SitesandDistricts3">#REF!</definedName>
    <definedName name="skn" localSheetId="0">README!#REF!</definedName>
    <definedName name="skn">#REF!</definedName>
    <definedName name="sln" localSheetId="0">README!#REF!</definedName>
    <definedName name="sln">#REF!</definedName>
    <definedName name="smn" localSheetId="0">README!#REF!</definedName>
    <definedName name="smn">#REF!</definedName>
    <definedName name="SMSPrinters" localSheetId="0">README!#REF!</definedName>
    <definedName name="SMSPrinters">#REF!</definedName>
    <definedName name="son" localSheetId="0">README!#REF!</definedName>
    <definedName name="son">#REF!</definedName>
    <definedName name="sourcedata" localSheetId="0">OFFSET(README!#REF!,0,0,COUNTA(README!#REF!),COUNTA(README!#REF!))</definedName>
    <definedName name="sourcedata">OFFSET(#REF!,0,0,COUNTA(#REF!),COUNTA(#REF!))</definedName>
    <definedName name="sqn" localSheetId="0">README!#REF!</definedName>
    <definedName name="sqn">#REF!</definedName>
    <definedName name="srn" localSheetId="0">README!#REF!</definedName>
    <definedName name="srn">#REF!</definedName>
    <definedName name="ssn" localSheetId="0">README!#REF!</definedName>
    <definedName name="ssn">#REF!</definedName>
    <definedName name="StaffCategories" localSheetId="0">README!#REF!</definedName>
    <definedName name="StaffCategories">#REF!</definedName>
    <definedName name="start_date" localSheetId="0">README!#REF!</definedName>
    <definedName name="start_date">#REF!</definedName>
    <definedName name="start_period_1" localSheetId="0">README!#REF!</definedName>
    <definedName name="start_period_1">#REF!</definedName>
    <definedName name="start_period_10" localSheetId="0">README!#REF!</definedName>
    <definedName name="start_period_10">#REF!</definedName>
    <definedName name="start_period_2" localSheetId="0">README!#REF!</definedName>
    <definedName name="start_period_2">#REF!</definedName>
    <definedName name="start_period_3" localSheetId="0">README!#REF!</definedName>
    <definedName name="start_period_3">#REF!</definedName>
    <definedName name="start_period_4" localSheetId="0">README!#REF!</definedName>
    <definedName name="start_period_4">#REF!</definedName>
    <definedName name="start_period_5" localSheetId="0">README!#REF!</definedName>
    <definedName name="start_period_5">#REF!</definedName>
    <definedName name="start_period_6" localSheetId="0">README!#REF!</definedName>
    <definedName name="start_period_6">#REF!</definedName>
    <definedName name="start_period_7" localSheetId="0">README!#REF!</definedName>
    <definedName name="start_period_7">#REF!</definedName>
    <definedName name="start_period_8" localSheetId="0">README!#REF!</definedName>
    <definedName name="start_period_8">#REF!</definedName>
    <definedName name="start_period_9" localSheetId="0">README!#REF!</definedName>
    <definedName name="start_period_9">#REF!</definedName>
    <definedName name="StationaryCost" localSheetId="0">README!#REF!</definedName>
    <definedName name="StationaryCost">#REF!</definedName>
    <definedName name="Status" localSheetId="0">README!#REF!</definedName>
    <definedName name="Status">#REF!</definedName>
    <definedName name="stn" localSheetId="0">README!#REF!</definedName>
    <definedName name="stn">#REF!</definedName>
    <definedName name="Strategic_Group">#REF!</definedName>
    <definedName name="STTA">#REF!</definedName>
    <definedName name="Subaward_Fee" localSheetId="0">README!#REF!</definedName>
    <definedName name="Subaward_Fee">#REF!</definedName>
    <definedName name="Subawards">#REF!</definedName>
    <definedName name="Subcategories" localSheetId="0">README!#REF!</definedName>
    <definedName name="Subcategories">#REF!</definedName>
    <definedName name="SubFee" localSheetId="0">README!#REF!</definedName>
    <definedName name="SubFee">#REF!</definedName>
    <definedName name="SummaryA">#REF!</definedName>
    <definedName name="SummaryB">#REF!</definedName>
    <definedName name="SupportProgram" localSheetId="0">README!#REF!</definedName>
    <definedName name="SupportProgram">#REF!</definedName>
    <definedName name="SupportPrograms3" localSheetId="0">README!#REF!</definedName>
    <definedName name="SupportPrograms3">#REF!</definedName>
    <definedName name="Surplus___Deficit_Analysis_Basics">#REF!</definedName>
    <definedName name="SWA">#REF!</definedName>
    <definedName name="switchto_adult_col">#REF!</definedName>
    <definedName name="switchto_adult_col_range">#REF!</definedName>
    <definedName name="switchto_adult_row">#REF!</definedName>
    <definedName name="Table_Outcomes" localSheetId="0">README!#REF!</definedName>
    <definedName name="Table_Outcomes">#REF!</definedName>
    <definedName name="Table_TestColumn" localSheetId="0">README!#REF!</definedName>
    <definedName name="Table_TestColumn">#REF!</definedName>
    <definedName name="Table_TestCost" localSheetId="0">README!#REF!</definedName>
    <definedName name="Table_TestCost">#REF!</definedName>
    <definedName name="tan" localSheetId="0">README!#REF!</definedName>
    <definedName name="tan">#REF!</definedName>
    <definedName name="Tanz_UN" localSheetId="0">README!#REF!</definedName>
    <definedName name="Tanz_UN">#REF!</definedName>
    <definedName name="tbn" localSheetId="0">README!#REF!</definedName>
    <definedName name="tbn">#REF!</definedName>
    <definedName name="tcn" localSheetId="0">README!#REF!</definedName>
    <definedName name="tcn">#REF!</definedName>
    <definedName name="tdlunch">#REF!</definedName>
    <definedName name="tdn" localSheetId="0">README!#REF!</definedName>
    <definedName name="tdn">#REF!</definedName>
    <definedName name="ten" localSheetId="0">README!#REF!</definedName>
    <definedName name="ten">#REF!</definedName>
    <definedName name="test" hidden="1">#REF!</definedName>
    <definedName name="test1" hidden="1">#REF!</definedName>
    <definedName name="test11" hidden="1">#REF!</definedName>
    <definedName name="test3" hidden="1">#REF!</definedName>
    <definedName name="text" hidden="1">#REF!</definedName>
    <definedName name="tfn" localSheetId="0">README!#REF!</definedName>
    <definedName name="tfn">#REF!</definedName>
    <definedName name="tgn" localSheetId="0">README!#REF!</definedName>
    <definedName name="tgn">#REF!</definedName>
    <definedName name="thn" localSheetId="0">README!#REF!</definedName>
    <definedName name="thn">#REF!</definedName>
    <definedName name="TIMP" localSheetId="0">README!#REF!</definedName>
    <definedName name="TIMP">#REF!</definedName>
    <definedName name="tin" localSheetId="0">README!#REF!</definedName>
    <definedName name="tin">#REF!</definedName>
    <definedName name="tkn" localSheetId="0">README!#REF!</definedName>
    <definedName name="tkn">#REF!</definedName>
    <definedName name="tln" localSheetId="0">README!#REF!</definedName>
    <definedName name="tln">#REF!</definedName>
    <definedName name="tnn" localSheetId="0">README!#REF!</definedName>
    <definedName name="tnn">#REF!</definedName>
    <definedName name="totalcost2" localSheetId="0">README!#REF!</definedName>
    <definedName name="totalcost2">#REF!</definedName>
    <definedName name="totalcost3" localSheetId="0">README!#REF!</definedName>
    <definedName name="totalcost3">#REF!</definedName>
    <definedName name="totalcost4" localSheetId="0">README!#REF!</definedName>
    <definedName name="totalcost4">#REF!</definedName>
    <definedName name="totalcost5" localSheetId="0">README!#REF!</definedName>
    <definedName name="totalcost5">#REF!</definedName>
    <definedName name="tqn" localSheetId="0">README!#REF!</definedName>
    <definedName name="tqn">#REF!</definedName>
    <definedName name="TRACKER"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RACKER"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rainings">#REF!</definedName>
    <definedName name="trans_adult_stock_col">#REF!</definedName>
    <definedName name="trans_adult_stock_row">#REF!</definedName>
    <definedName name="trans_adult_stock_row_range">#REF!</definedName>
    <definedName name="Travel" localSheetId="0">README!#REF!</definedName>
    <definedName name="Travel">#REF!</definedName>
    <definedName name="travmisc">#REF!+#REF!+#REF!</definedName>
    <definedName name="trtfail_adult_col">#REF!</definedName>
    <definedName name="trtfail_adult_col_range">#REF!</definedName>
    <definedName name="trtfail_adult_row">#REF!</definedName>
    <definedName name="tsn" localSheetId="0">README!#REF!</definedName>
    <definedName name="tsn">#REF!</definedName>
    <definedName name="ttn" localSheetId="0">README!#REF!</definedName>
    <definedName name="ttn">#REF!</definedName>
    <definedName name="TURKEY">#REF!</definedName>
    <definedName name="twn" localSheetId="0">README!#REF!</definedName>
    <definedName name="twn">#REF!</definedName>
    <definedName name="Type_of_expense" localSheetId="0">README!#REF!</definedName>
    <definedName name="Type_of_expense">#REF!</definedName>
    <definedName name="uan" localSheetId="0">README!#REF!</definedName>
    <definedName name="uan">#REF!</definedName>
    <definedName name="ucn" localSheetId="0">README!#REF!</definedName>
    <definedName name="ucn">#REF!</definedName>
    <definedName name="udn" localSheetId="0">README!#REF!</definedName>
    <definedName name="udn">#REF!</definedName>
    <definedName name="uen" localSheetId="0">README!#REF!</definedName>
    <definedName name="uen">#REF!</definedName>
    <definedName name="ufn" localSheetId="0">README!#REF!</definedName>
    <definedName name="ufn">#REF!</definedName>
    <definedName name="Uganda_UN" localSheetId="0">README!#REF!</definedName>
    <definedName name="Uganda_UN">#REF!</definedName>
    <definedName name="ugandaacct" localSheetId="0">README!#REF!</definedName>
    <definedName name="ugandaacct">#REF!</definedName>
    <definedName name="ugandatotal" localSheetId="0">README!#REF!</definedName>
    <definedName name="ugandatotal">#REF!</definedName>
    <definedName name="uhn" localSheetId="0">README!#REF!</definedName>
    <definedName name="uhn">#REF!</definedName>
    <definedName name="uin" localSheetId="0">README!#REF!</definedName>
    <definedName name="uin">#REF!</definedName>
    <definedName name="ukn" localSheetId="0">README!#REF!</definedName>
    <definedName name="ukn">#REF!</definedName>
    <definedName name="uln" localSheetId="0">README!#REF!</definedName>
    <definedName name="uln">#REF!</definedName>
    <definedName name="umn" localSheetId="0">README!#REF!</definedName>
    <definedName name="umn">#REF!</definedName>
    <definedName name="UNITAIDRAS1" localSheetId="0">README!#REF!</definedName>
    <definedName name="UNITAIDRAS1">#REF!</definedName>
    <definedName name="unn" localSheetId="0">README!#REF!</definedName>
    <definedName name="unn">#REF!</definedName>
    <definedName name="uon" localSheetId="0">README!#REF!</definedName>
    <definedName name="uon">#REF!</definedName>
    <definedName name="upn" localSheetId="0">README!#REF!</definedName>
    <definedName name="upn">#REF!</definedName>
    <definedName name="usaidperd">#REF!+#REF!</definedName>
    <definedName name="USD_Euro" localSheetId="0">README!#REF!</definedName>
    <definedName name="USD_Euro">#REF!</definedName>
    <definedName name="usdcfa" localSheetId="0">README!#REF!</definedName>
    <definedName name="usdcfa">#REF!</definedName>
    <definedName name="usinflation" localSheetId="0">README!#REF!</definedName>
    <definedName name="usinflation">#REF!</definedName>
    <definedName name="usinflation_yr2" localSheetId="0">README!#REF!</definedName>
    <definedName name="usinflation_yr2">#REF!</definedName>
    <definedName name="usinflation_yr3" localSheetId="0">README!#REF!</definedName>
    <definedName name="usinflation_yr3">#REF!</definedName>
    <definedName name="usinflation_yr4" localSheetId="0">README!#REF!</definedName>
    <definedName name="usinflation_yr4">#REF!</definedName>
    <definedName name="usinflation_yr5" localSheetId="0">README!#REF!</definedName>
    <definedName name="usinflation_yr5">#REF!</definedName>
    <definedName name="utn" localSheetId="0">README!#REF!</definedName>
    <definedName name="utn">#REF!</definedName>
    <definedName name="UU"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UU"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uzn" localSheetId="0">README!#REF!</definedName>
    <definedName name="uzn">#REF!</definedName>
    <definedName name="VAC">#REF!</definedName>
    <definedName name="Vacay_Taken" localSheetId="0">README!#REF!</definedName>
    <definedName name="Vacay_Taken">#REF!</definedName>
    <definedName name="varARVShip">0.15</definedName>
    <definedName name="VenueCost" localSheetId="0">README!#REF!</definedName>
    <definedName name="VenueCost">#REF!</definedName>
    <definedName name="VenueFood" localSheetId="0">README!#REF!</definedName>
    <definedName name="VenueFood">#REF!</definedName>
    <definedName name="VenueSnack" localSheetId="0">README!#REF!</definedName>
    <definedName name="VenueSnack">#REF!</definedName>
    <definedName name="vgnc1" localSheetId="0">README!#REF!</definedName>
    <definedName name="vgnc1">#REF!</definedName>
    <definedName name="vgnc2" localSheetId="0">README!#REF!</definedName>
    <definedName name="vgnc2">#REF!</definedName>
    <definedName name="vgndc1" localSheetId="0">README!#REF!</definedName>
    <definedName name="vgndc1">#REF!</definedName>
    <definedName name="vgndc2" localSheetId="0">README!#REF!</definedName>
    <definedName name="vgndc2">#REF!</definedName>
    <definedName name="VGNS1" localSheetId="0">README!#REF!</definedName>
    <definedName name="VGNS1">#REF!</definedName>
    <definedName name="vgns2" localSheetId="0">README!#REF!</definedName>
    <definedName name="vgns2">#REF!</definedName>
    <definedName name="ville" localSheetId="0">README!#REF!</definedName>
    <definedName name="ville">#REF!</definedName>
    <definedName name="w" hidden="1">#REF!</definedName>
    <definedName name="workerscomp.expat" localSheetId="0">README!#REF!</definedName>
    <definedName name="workerscomp.expat">#REF!</definedName>
    <definedName name="workerscomp.intlstaff" localSheetId="0">README!#REF!</definedName>
    <definedName name="workerscomp.intlstaff">#REF!</definedName>
    <definedName name="wrn.cdra._.Total._.budget.2" localSheetId="0" hidden="1">{"Yr1",#N/A,FALSE,"Budget Detail";"Yr2",#N/A,FALSE,"Budget Detail";"Yr3",#N/A,FALSE,"Budget Detail";"Yr4",#N/A,FALSE,"Budget Detail";"Yr5",#N/A,FALSE,"Budget Detail";"Total",#N/A,FALSE,"Budget Detail"}</definedName>
    <definedName name="wrn.cdra._.Total._.budget.2" hidden="1">{"Yr1",#N/A,FALSE,"Budget Detail";"Yr2",#N/A,FALSE,"Budget Detail";"Yr3",#N/A,FALSE,"Budget Detail";"Yr4",#N/A,FALSE,"Budget Detail";"Yr5",#N/A,FALSE,"Budget Detail";"Total",#N/A,FALSE,"Budget Detail"}</definedName>
    <definedName name="wrn.cdra._.total._.Budget.5" localSheetId="0" hidden="1">{"Yr1",#N/A,FALSE,"Budget Detail";"Yr2",#N/A,FALSE,"Budget Detail";"Yr3",#N/A,FALSE,"Budget Detail";"Yr4",#N/A,FALSE,"Budget Detail";"Yr5",#N/A,FALSE,"Budget Detail";"Total",#N/A,FALSE,"Budget Detail"}</definedName>
    <definedName name="wrn.cdra._.total._.Budget.5" hidden="1">{"Yr1",#N/A,FALSE,"Budget Detail";"Yr2",#N/A,FALSE,"Budget Detail";"Yr3",#N/A,FALSE,"Budget Detail";"Yr4",#N/A,FALSE,"Budget Detail";"Yr5",#N/A,FALSE,"Budget Detail";"Total",#N/A,FALSE,"Budget Detail"}</definedName>
    <definedName name="wrn.CRDA._.Total._.Budget." localSheetId="0" hidden="1">{"Yr1",#N/A,FALSE,"Budget Detail";"Yr2",#N/A,FALSE,"Budget Detail";"Yr3",#N/A,FALSE,"Budget Detail";"Yr4",#N/A,FALSE,"Budget Detail";"Yr5",#N/A,FALSE,"Budget Detail";"Total",#N/A,FALSE,"Budget Detail"}</definedName>
    <definedName name="wrn.CRDA._.Total._.Budget." hidden="1">{"Yr1",#N/A,FALSE,"Budget Detail";"Yr2",#N/A,FALSE,"Budget Detail";"Yr3",#N/A,FALSE,"Budget Detail";"Yr4",#N/A,FALSE,"Budget Detail";"Yr5",#N/A,FALSE,"Budget Detail";"Total",#N/A,FALSE,"Budget Detail"}</definedName>
    <definedName name="wrn.crda._.Total._.budget.1" localSheetId="0" hidden="1">{"Yr1",#N/A,FALSE,"Budget Detail";"Yr2",#N/A,FALSE,"Budget Detail";"Yr3",#N/A,FALSE,"Budget Detail";"Yr4",#N/A,FALSE,"Budget Detail";"Yr5",#N/A,FALSE,"Budget Detail";"Total",#N/A,FALSE,"Budget Detail"}</definedName>
    <definedName name="wrn.crda._.Total._.budget.1" hidden="1">{"Yr1",#N/A,FALSE,"Budget Detail";"Yr2",#N/A,FALSE,"Budget Detail";"Yr3",#N/A,FALSE,"Budget Detail";"Yr4",#N/A,FALSE,"Budget Detail";"Yr5",#N/A,FALSE,"Budget Detail";"Total",#N/A,FALSE,"Budget Detail"}</definedName>
    <definedName name="wrn.crda._.Total._.budget.3" localSheetId="0" hidden="1">{"Yr1",#N/A,FALSE,"Budget Detail";"Yr2",#N/A,FALSE,"Budget Detail";"Yr3",#N/A,FALSE,"Budget Detail";"Yr4",#N/A,FALSE,"Budget Detail";"Yr5",#N/A,FALSE,"Budget Detail";"Total",#N/A,FALSE,"Budget Detail"}</definedName>
    <definedName name="wrn.crda._.Total._.budget.3" hidden="1">{"Yr1",#N/A,FALSE,"Budget Detail";"Yr2",#N/A,FALSE,"Budget Detail";"Yr3",#N/A,FALSE,"Budget Detail";"Yr4",#N/A,FALSE,"Budget Detail";"Yr5",#N/A,FALSE,"Budget Detail";"Total",#N/A,FALSE,"Budget Detail"}</definedName>
    <definedName name="wrn.crda._.Total._.Budget.4" localSheetId="0" hidden="1">{"Yr1",#N/A,FALSE,"Budget Detail";"Yr2",#N/A,FALSE,"Budget Detail";"Yr3",#N/A,FALSE,"Budget Detail";"Yr4",#N/A,FALSE,"Budget Detail";"Yr5",#N/A,FALSE,"Budget Detail";"Total",#N/A,FALSE,"Budget Detail"}</definedName>
    <definedName name="wrn.crda._.Total._.Budget.4" hidden="1">{"Yr1",#N/A,FALSE,"Budget Detail";"Yr2",#N/A,FALSE,"Budget Detail";"Yr3",#N/A,FALSE,"Budget Detail";"Yr4",#N/A,FALSE,"Budget Detail";"Yr5",#N/A,FALSE,"Budget Detail";"Total",#N/A,FALSE,"Budget Detail"}</definedName>
    <definedName name="wt_band_input">#REF!</definedName>
    <definedName name="wt_bands">#REF!</definedName>
    <definedName name="x" localSheetId="0">README!#REF!</definedName>
    <definedName name="x">#REF!</definedName>
    <definedName name="year" localSheetId="0">README!#REF!</definedName>
    <definedName name="year">#REF!</definedName>
    <definedName name="year1" localSheetId="0">README!#REF!</definedName>
    <definedName name="year1">#REF!</definedName>
    <definedName name="year2" localSheetId="0">README!#REF!</definedName>
    <definedName name="year2">#REF!</definedName>
    <definedName name="year3" localSheetId="0">README!#REF!</definedName>
    <definedName name="year3">#REF!</definedName>
    <definedName name="year4" localSheetId="0">README!#REF!</definedName>
    <definedName name="year4">#REF!</definedName>
    <definedName name="year5" localSheetId="0">README!#REF!</definedName>
    <definedName name="year5">#REF!</definedName>
    <definedName name="yearbegin" localSheetId="0">README!#REF!</definedName>
    <definedName name="yearbegin">#REF!</definedName>
    <definedName name="YesNo" localSheetId="0">README!#REF!</definedName>
    <definedName name="YesNo">#REF!</definedName>
    <definedName name="YR2?" localSheetId="0">README!#REF!</definedName>
    <definedName name="YR2?">#REF!</definedName>
    <definedName name="yrbegin" localSheetId="0">README!#REF!</definedName>
    <definedName name="yrbegin">#REF!</definedName>
    <definedName name="yrend" localSheetId="0">README!#REF!</definedName>
    <definedName name="yrend">#REF!</definedName>
    <definedName name="YTDA" localSheetId="0">README!#REF!</definedName>
    <definedName name="YTDA">#REF!</definedName>
    <definedName name="YTDB" localSheetId="0">README!#REF!</definedName>
    <definedName name="YTDB">#REF!</definedName>
    <definedName name="z" localSheetId="0">README!#REF!</definedName>
    <definedName name="z">#REF!</definedName>
    <definedName name="Zam_UN" localSheetId="0">README!#REF!</definedName>
    <definedName name="Zam_UN">#REF!</definedName>
    <definedName name="Zim_UN" localSheetId="0">README!#REF!</definedName>
    <definedName name="Zim_U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86" i="2" l="1"/>
  <c r="Z185" i="2"/>
  <c r="Z172" i="2"/>
  <c r="Z171" i="2"/>
  <c r="Z138" i="2"/>
  <c r="Z127"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T127" i="2"/>
  <c r="T128"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tc={09087559-79A0-484A-B621-385FE6F2F591}</author>
    <author>tc={8D18AAF8-D498-4998-BCF5-5A47ACC3333D}</author>
    <author>tc={222D6232-C95D-4D93-B52B-16C245334543}</author>
    <author>tc={A5B927F4-9E16-4D1A-B5D4-E7FF7432B945}</author>
    <author>tc={4CDDD49E-DC24-42C0-A245-10F3E2789C91}</author>
    <author>tc={81B54737-87B9-4F65-9C2F-13B0DAF3C268}</author>
    <author>tc={59AE8FFE-8F9B-4CF5-AA13-D72FAB58E786}</author>
  </authors>
  <commentList>
    <comment ref="D1" authorId="0" shapeId="0" xr:uid="{09087559-79A0-484A-B621-385FE6F2F591}">
      <text>
        <t>[Threaded comment]
Your version of Excel allows you to read this threaded comment; however, any edits to it will get removed if the file is opened in a newer version of Excel. Learn more: https://go.microsoft.com/fwlink/?linkid=870924
Comment:
    Steve can we fill in missing dosage form?</t>
      </text>
    </comment>
    <comment ref="D99" authorId="1" shapeId="0" xr:uid="{8D18AAF8-D498-4998-BCF5-5A47ACC3333D}">
      <text>
        <t>[Threaded comment]
Your version of Excel allows you to read this threaded comment; however, any edits to it will get removed if the file is opened in a newer version of Excel. Learn more: https://go.microsoft.com/fwlink/?linkid=870924
Comment:
    No dosage form listed, but assuming it's a liquid based on ml</t>
      </text>
    </comment>
    <comment ref="D100" authorId="2" shapeId="0" xr:uid="{222D6232-C95D-4D93-B52B-16C245334543}">
      <text>
        <t>[Threaded comment]
Your version of Excel allows you to read this threaded comment; however, any edits to it will get removed if the file is opened in a newer version of Excel. Learn more: https://go.microsoft.com/fwlink/?linkid=870924
Comment:
    No dosage form listed, assuming it's liquid of some sort based on dosages</t>
      </text>
    </comment>
    <comment ref="D101" authorId="3" shapeId="0" xr:uid="{A5B927F4-9E16-4D1A-B5D4-E7FF7432B945}">
      <text>
        <t>[Threaded comment]
Your version of Excel allows you to read this threaded comment; however, any edits to it will get removed if the file is opened in a newer version of Excel. Learn more: https://go.microsoft.com/fwlink/?linkid=870924
Comment:
    No dosage form listed, assuming it's liquid of some sort based on dosages</t>
      </text>
    </comment>
    <comment ref="D102" authorId="4" shapeId="0" xr:uid="{4CDDD49E-DC24-42C0-A245-10F3E2789C91}">
      <text>
        <t>[Threaded comment]
Your version of Excel allows you to read this threaded comment; however, any edits to it will get removed if the file is opened in a newer version of Excel. Learn more: https://go.microsoft.com/fwlink/?linkid=870924
Comment:
    No dosage form listed, but based on dosage strength I put it in the syrups/suspensions etc section</t>
      </text>
    </comment>
    <comment ref="D365" authorId="5" shapeId="0" xr:uid="{81B54737-87B9-4F65-9C2F-13B0DAF3C268}">
      <text>
        <t>[Threaded comment]
Your version of Excel allows you to read this threaded comment; however, any edits to it will get removed if the file is opened in a newer version of Excel. Learn more: https://go.microsoft.com/fwlink/?linkid=870924
Comment:
    This one did not have a form listed, but based on dosages should be a tablet of some sort?</t>
      </text>
    </comment>
    <comment ref="D368" authorId="6" shapeId="0" xr:uid="{59AE8FFE-8F9B-4CF5-AA13-D72FAB58E786}">
      <text>
        <t>[Threaded comment]
Your version of Excel allows you to read this threaded comment; however, any edits to it will get removed if the file is opened in a newer version of Excel. Learn more: https://go.microsoft.com/fwlink/?linkid=870924
Comment:
    This one did not have a dosage form listed</t>
      </text>
    </comment>
  </commentList>
</comments>
</file>

<file path=xl/sharedStrings.xml><?xml version="1.0" encoding="utf-8"?>
<sst xmlns="http://schemas.openxmlformats.org/spreadsheetml/2006/main" count="8535" uniqueCount="1411">
  <si>
    <t>This workbook contains data for unique RDTs</t>
  </si>
  <si>
    <t>OVERVIEW</t>
  </si>
  <si>
    <t>TOOL STRUCTURE</t>
  </si>
  <si>
    <t>TAB NAME</t>
  </si>
  <si>
    <t>Description</t>
  </si>
  <si>
    <t>Codebook &amp; Sources</t>
  </si>
  <si>
    <t>RDTMASTERLIST</t>
  </si>
  <si>
    <t>A list of 69 unique RDTs, which may be used as a reference for RDT product information and/or to help populate electronic ODK questionnaires.</t>
  </si>
  <si>
    <t>INSTRUCTIONS FOR USE</t>
  </si>
  <si>
    <t xml:space="preserve">Closely explore the RDTMASTERLIST tab and refer to the codebook &amp; sources tab as required for detailed information on variable names and descriptions. 
If you are simply reviewing the database for information, remember to sort and filter the data to narrow and clarify the scope of your search. You may also wish to export the database into separate software for further analysis.
You may also wish to use the database to populate automatic responses for quantitative ODK questionnaires. </t>
  </si>
  <si>
    <t>ACTwatch Lite RDT Masterlist</t>
  </si>
  <si>
    <t xml:space="preserve">Codebook: </t>
  </si>
  <si>
    <t>variable name</t>
  </si>
  <si>
    <t>description</t>
  </si>
  <si>
    <t>product_ID</t>
  </si>
  <si>
    <t>dataset ID</t>
  </si>
  <si>
    <t>rdtManu</t>
  </si>
  <si>
    <t xml:space="preserve">manufacture name - try to make sure this is the manufacture, not the distrbutor, applicant, etc. </t>
  </si>
  <si>
    <t>rdtBrand</t>
  </si>
  <si>
    <t xml:space="preserve">brand name. If generic, use the active ingredient names using the nomenclature on the packaging (if possible) and add "(generic)" to the end </t>
  </si>
  <si>
    <t>HRP2</t>
  </si>
  <si>
    <t>==1 if test includes HRP2</t>
  </si>
  <si>
    <t>pLDH</t>
  </si>
  <si>
    <t>==1 if test includes pLDH</t>
  </si>
  <si>
    <t>Aldolase</t>
  </si>
  <si>
    <t>==1 if test includes Aldolase</t>
  </si>
  <si>
    <t>anti_lbl</t>
  </si>
  <si>
    <t>Label for antigen tests for</t>
  </si>
  <si>
    <t>Pf</t>
  </si>
  <si>
    <t>==1 if test for Pf</t>
  </si>
  <si>
    <t>Pv</t>
  </si>
  <si>
    <t>==1 if test for Pv</t>
  </si>
  <si>
    <t>Pan</t>
  </si>
  <si>
    <t>==1 if test for Pan</t>
  </si>
  <si>
    <t>VOM</t>
  </si>
  <si>
    <t>==1 if test for VOM</t>
  </si>
  <si>
    <t>parasite_lbl</t>
  </si>
  <si>
    <t>Label for parasite tests for</t>
  </si>
  <si>
    <t>qardt</t>
  </si>
  <si>
    <t>natapp</t>
  </si>
  <si>
    <r>
      <t xml:space="preserve">is this nationally approved?
</t>
    </r>
    <r>
      <rPr>
        <sz val="10"/>
        <color rgb="FFFF0000"/>
        <rFont val="Roboto Light"/>
      </rPr>
      <t>IDENTIFY WHICH PRODUCTS ARE APPROVED IN YOUR COUNTRY HERE; ADD ROWS FOR MISSING APPROVED PRODUCTS</t>
    </r>
    <r>
      <rPr>
        <sz val="10"/>
        <color theme="1"/>
        <rFont val="Roboto Light"/>
      </rPr>
      <t xml:space="preserve">
</t>
    </r>
  </si>
  <si>
    <t>Additional variables for documenting product information that are not needed for the ODK dataset and can be removed:</t>
  </si>
  <si>
    <t>source</t>
  </si>
  <si>
    <t>source of product information. See details below</t>
  </si>
  <si>
    <t>BEN23_ID</t>
  </si>
  <si>
    <t xml:space="preserve">ID from Benin Masterlist </t>
  </si>
  <si>
    <t>AMM</t>
  </si>
  <si>
    <t>ID from Cameroon national register</t>
  </si>
  <si>
    <t>CMR24_ID2</t>
  </si>
  <si>
    <t>ID from Cameroon ACTwatch Lite data</t>
  </si>
  <si>
    <t>NAFDAC_REGNO</t>
  </si>
  <si>
    <t xml:space="preserve">ID from Nigeria NAFDAC registration list </t>
  </si>
  <si>
    <t>NGA24_ID</t>
  </si>
  <si>
    <t>ID from Nigeria ACTwatch Lite data</t>
  </si>
  <si>
    <t>Sources:</t>
  </si>
  <si>
    <t>BEN AwL23</t>
  </si>
  <si>
    <t>Products found during Benin Actwatch Lite 23'</t>
  </si>
  <si>
    <t>Data available on request from PSI</t>
  </si>
  <si>
    <t>CMR 2023/ 2024</t>
  </si>
  <si>
    <t xml:space="preserve">Cameroon nationally approved antimalarials </t>
  </si>
  <si>
    <t>List of approved antimalarials and RDTs in Cameroon.</t>
  </si>
  <si>
    <t>CMR AwL24</t>
  </si>
  <si>
    <r>
      <t xml:space="preserve">Products found during Cameroon Actwatch Lite 24' </t>
    </r>
    <r>
      <rPr>
        <sz val="11"/>
        <rFont val="Roboto Light"/>
      </rPr>
      <t xml:space="preserve"> *These data are being cleaned through April 2024 and will be added once "final"</t>
    </r>
  </si>
  <si>
    <t>NGA 2024</t>
  </si>
  <si>
    <t>Nigeria's registered RDTs</t>
  </si>
  <si>
    <t>List of approved antimalarials and RDTs in Nigeria</t>
  </si>
  <si>
    <t>product_id</t>
  </si>
  <si>
    <t>AWL_RDT_0001</t>
  </si>
  <si>
    <t>ABBOTT DIAGNOSTICS KOREA INC</t>
  </si>
  <si>
    <t>BIOLINE MALARIA AG PF/PV</t>
  </si>
  <si>
    <t>HRP2/pLDH</t>
  </si>
  <si>
    <t>Pf/Pv</t>
  </si>
  <si>
    <t>IDENTIFY WHICH PRODUCTS ARE APPROVED IN YOUR COUNTRY HERE; ADD ROWS FOR MISSING APPROVED PRODUCTS</t>
  </si>
  <si>
    <t>BEN</t>
  </si>
  <si>
    <t>AWL_RDT_0002</t>
  </si>
  <si>
    <t>BIOLINE MALARIA AG PF (HRP2/PLDH)</t>
  </si>
  <si>
    <t>AWL_RDT_0003</t>
  </si>
  <si>
    <t>BIOLINE MALARIA AG PF/PAN</t>
  </si>
  <si>
    <t>Pf/Pan</t>
  </si>
  <si>
    <t>AWL_RDT_0004</t>
  </si>
  <si>
    <t>BIOLINE MALARIA AG PF/PF/PV</t>
  </si>
  <si>
    <t>AWL_RDT_0005</t>
  </si>
  <si>
    <t xml:space="preserve">NXTEK ELIMINATE MALARIA PF </t>
  </si>
  <si>
    <t>AWL_RDT_0006</t>
  </si>
  <si>
    <t>SD BIOLINE MALARIA AG PF</t>
  </si>
  <si>
    <t>CMR24</t>
  </si>
  <si>
    <t>.</t>
  </si>
  <si>
    <t>AWL_RDT_0008</t>
  </si>
  <si>
    <t>ABON BIOPHARM (HANGZOU) CO LTD</t>
  </si>
  <si>
    <t>ABON PLUS MALARIA P.F./PAN RAPID TEST DEVICE (WHOLE BLOOD)</t>
  </si>
  <si>
    <t>AWL_RDT_0009</t>
  </si>
  <si>
    <t>ACCESS BIO INC</t>
  </si>
  <si>
    <t>CARESTART MALARIA HRP2 (PF)</t>
  </si>
  <si>
    <t>AWL_RDT_0010</t>
  </si>
  <si>
    <t>CARESTART MALARIA HRP2/PLDH (PF)</t>
  </si>
  <si>
    <t>AWL_RDT_0011</t>
  </si>
  <si>
    <t>CARESTART MALARIA HRP2/PLDH (PF/PAN) COMBO</t>
  </si>
  <si>
    <t>AWL_RDT_0012</t>
  </si>
  <si>
    <t>CARESTART MALARIA HRP2/PLDH (PF/PV) COMBO</t>
  </si>
  <si>
    <t>AWL_RDT_0013</t>
  </si>
  <si>
    <t>CARESTART MALARIA PF (HRP2/PLDH) AG COMBO 3-LINE RDT</t>
  </si>
  <si>
    <t>AWL_RDT_0014</t>
  </si>
  <si>
    <t>CARESTART MALARIA PF/PAN (PLDH) AG RDTC</t>
  </si>
  <si>
    <t>AWL_RDT_0015</t>
  </si>
  <si>
    <t>CARESTART MALARIA PF/VOM (HRP2/PLDH) AG COMBO RDT</t>
  </si>
  <si>
    <t>Pf/VOM</t>
  </si>
  <si>
    <t>AWL_RDT_0016</t>
  </si>
  <si>
    <t>CARESTART MALARIA PLDH (PAN)</t>
  </si>
  <si>
    <t>CMR23</t>
  </si>
  <si>
    <t>8311701 , 8311201</t>
  </si>
  <si>
    <t>AWL_RDT_0017</t>
  </si>
  <si>
    <t>ADVY CHEMICAL PVT LTD</t>
  </si>
  <si>
    <t>ADVDX MALARIA PF RAPID MALARIA AG DETECTION TEST</t>
  </si>
  <si>
    <t>AWL_RDT_0018</t>
  </si>
  <si>
    <t>EZDX MALARIA PF RAPID MALARIA ANTIGEN DETECTION TEST (PLDH AND HRP-II)</t>
  </si>
  <si>
    <t>AWL_RDT_0019</t>
  </si>
  <si>
    <t>EZDX MALARIA PF RAPID MALARIA ANTIGEN DETECTION TEST (PLDH)</t>
  </si>
  <si>
    <t>AWL_RDT_0020</t>
  </si>
  <si>
    <t>ARKRAY HEALTHCARE PVT LTD</t>
  </si>
  <si>
    <t>PARAHIT - F VER. 1.0 RAPID TEST FOR PF MALARIA DEVICE</t>
  </si>
  <si>
    <t>AWL_RDT_0021</t>
  </si>
  <si>
    <t>PF</t>
  </si>
  <si>
    <t>CMR-AwL</t>
  </si>
  <si>
    <t>UUID:F23F47C8-FCE1-48F0-8E9C-F3A733DAF6CF</t>
  </si>
  <si>
    <t>CMR-AwL_1</t>
  </si>
  <si>
    <t>AWL_RDT_0022</t>
  </si>
  <si>
    <t>ASPEN LABORATORIES PVTLTD</t>
  </si>
  <si>
    <t>ASPEN MAL (AG PF/PV) RAPID CARD TEST</t>
  </si>
  <si>
    <t>AWL_RDT_0023</t>
  </si>
  <si>
    <t>ASSURE TECH (HANGZHOU)</t>
  </si>
  <si>
    <t>ECOTEST MALARIA PF/PAN RAPID TEST DEVICE</t>
  </si>
  <si>
    <t>AWL_RDT_0024</t>
  </si>
  <si>
    <t>BEACON DIAGNOSTICS PVT LTD</t>
  </si>
  <si>
    <t>ULTIMA MALARIA PF/PAN ANTIGEN</t>
  </si>
  <si>
    <t>HRP2/PLDH</t>
  </si>
  <si>
    <t>PF/PAN</t>
  </si>
  <si>
    <t>UUID:F67193A5-9EF6-43DE-B0EC-023C863D8818</t>
  </si>
  <si>
    <t>CMR-AwL_11</t>
  </si>
  <si>
    <t>AWL_RDT_0025</t>
  </si>
  <si>
    <t>ULTIMA MALARIA PF/PV ANTIGEN</t>
  </si>
  <si>
    <t>PF/PV</t>
  </si>
  <si>
    <t>UUID:2706FBE8-3986-41CE-8C62-C498C3AFBC4A</t>
  </si>
  <si>
    <t>CMR-AwL_12</t>
  </si>
  <si>
    <t>AWL_RDT_0026</t>
  </si>
  <si>
    <t>BINAX- ABBOTT</t>
  </si>
  <si>
    <t>BINAXNOW MALARIA</t>
  </si>
  <si>
    <t>AWL_RDT_0027</t>
  </si>
  <si>
    <t>GUANGZHOU WONDFO BIOTECH CO LTD</t>
  </si>
  <si>
    <t>WONDFO MALARIA P.F (HRP2/PLDH) TEST</t>
  </si>
  <si>
    <t>WHO</t>
  </si>
  <si>
    <t>N_001</t>
  </si>
  <si>
    <t>AWL_RDT_0028</t>
  </si>
  <si>
    <t>HANGZHOU ALL TEST BIOTECH CO LTD</t>
  </si>
  <si>
    <t>GLOBAL DEVICES MALARIA PF/PV TEST CASSETTE</t>
  </si>
  <si>
    <t xml:space="preserve">NAFDAC </t>
  </si>
  <si>
    <t>03-1228</t>
  </si>
  <si>
    <t>BILLY_2</t>
  </si>
  <si>
    <t>AWL_RDT_0029</t>
  </si>
  <si>
    <t>MALARIA PF/ PAN RAPID TEST CASSETTE</t>
  </si>
  <si>
    <t>HRP2/Aldolase</t>
  </si>
  <si>
    <t>AWL_RDT_0030</t>
  </si>
  <si>
    <t>ICT INTERNATIONAL</t>
  </si>
  <si>
    <t>ICT MALARIA DUAL TEST MALARIA PF/PAN ANTIGEN RDT (HRP2/PLDH)</t>
  </si>
  <si>
    <t>BEN, NAFDAC</t>
  </si>
  <si>
    <t>03-1477</t>
  </si>
  <si>
    <t>AWL_RDT_0031</t>
  </si>
  <si>
    <t>ICT MALARIA PF ANTIGEN RDT (HRPII)</t>
  </si>
  <si>
    <t>AWL_RDT_0032</t>
  </si>
  <si>
    <t>IMACCESS</t>
  </si>
  <si>
    <t>VIKIA MALARIA AG PF/PAN</t>
  </si>
  <si>
    <t>03-1989</t>
  </si>
  <si>
    <t>BILLY_6</t>
  </si>
  <si>
    <t>AWL_RDT_0033</t>
  </si>
  <si>
    <t>INTEC PRODUCTS INC</t>
  </si>
  <si>
    <t>ONE STEP MALARIA (PF) TEST</t>
  </si>
  <si>
    <t>N_002</t>
  </si>
  <si>
    <t>AWL_RDT_0034</t>
  </si>
  <si>
    <t>ONE STEP MALARIA (PF/PV) TRI-LINE TEST</t>
  </si>
  <si>
    <t>N_003</t>
  </si>
  <si>
    <t>AWL_RDT_0035</t>
  </si>
  <si>
    <t>KARWA ENTERPRISES PVT LTD</t>
  </si>
  <si>
    <t>KARWA MAL (AG PF/PV) RAPID CARD TEST</t>
  </si>
  <si>
    <t>AWL_RDT_0036</t>
  </si>
  <si>
    <t>LIANYUNGANG HUICHAO MEDICAL CO LTD</t>
  </si>
  <si>
    <t>DIASPOT  RAPID ONE-STEP TEST DEVICE</t>
  </si>
  <si>
    <t>UUID:14BD120B-42B1-4126-B5B5-0A68049E40B9</t>
  </si>
  <si>
    <t>CMR-AwL_2</t>
  </si>
  <si>
    <t>AWL_RDT_0037</t>
  </si>
  <si>
    <t>MEDSOURCE OZONE BIOMEDICALS PVT LTD</t>
  </si>
  <si>
    <t>IS IT MALARIA PF/PAN ANTIGEN</t>
  </si>
  <si>
    <t>UUID:84A6987E-00CB-41E5-8C13-C34B83132C2C</t>
  </si>
  <si>
    <t>CMR-AwL_9</t>
  </si>
  <si>
    <t>MERIL DIAGNOSTICS PVT LTD</t>
  </si>
  <si>
    <t>AWL_RDT_0039</t>
  </si>
  <si>
    <t>MERISCREEN MALARIA PLDH AG</t>
  </si>
  <si>
    <t>AWL_RDT_0040</t>
  </si>
  <si>
    <t>ONE STEP TEST FOR MALARIA F HRP-II AG MERISCREEN MALARIA PF HRP-II AG</t>
  </si>
  <si>
    <t>AWL_RDT_0041</t>
  </si>
  <si>
    <t>AWL_RDT_0042</t>
  </si>
  <si>
    <t>ONE STEP TEST FOR MALARIA PF/PV AG MERISCREEN MALARIA PF/PV AG</t>
  </si>
  <si>
    <t>AWL_RDT_0043</t>
  </si>
  <si>
    <t>NANJING SYNTHGENE MEDICAL TECHNOLOGY CO LTD</t>
  </si>
  <si>
    <t>MALARIA PF/PV ANTIGEN RAPID TEST KIT</t>
  </si>
  <si>
    <t>UUID:84E5EC4E-C1CB-4D68-930D-CD6FAFBAA4FB</t>
  </si>
  <si>
    <t>CMR-AwL_3</t>
  </si>
  <si>
    <t>AWL_RDT_0044</t>
  </si>
  <si>
    <t>NANTONG EGENS BIOTECHNOLOGY CO LTD</t>
  </si>
  <si>
    <t>DR GREG'S MALARIA P.F ANTIGEN TEST KIT</t>
  </si>
  <si>
    <t>A3-100987</t>
  </si>
  <si>
    <t>BILLY_8</t>
  </si>
  <si>
    <t>AWL_RDT_0045</t>
  </si>
  <si>
    <t>EGENS MALARIA PV/PF TEST CASSETTE</t>
  </si>
  <si>
    <t>AWL_RDT_0046</t>
  </si>
  <si>
    <t>MALARIA AG PF/PAN</t>
  </si>
  <si>
    <t>Pf/PAN</t>
  </si>
  <si>
    <t>03-1942</t>
  </si>
  <si>
    <t>BILLY_3</t>
  </si>
  <si>
    <t>AWL_RDT_0047</t>
  </si>
  <si>
    <t>NECTAR LIFESCIENCES LIMITED</t>
  </si>
  <si>
    <t>NECVIPARUM ONE STEP MALARIA PF/PV ANTIGEN TEST</t>
  </si>
  <si>
    <t>AWL_RDT_0048</t>
  </si>
  <si>
    <t>OMEGA DIAGNOSTICS LTD</t>
  </si>
  <si>
    <t>VISITECT MALARIA PF</t>
  </si>
  <si>
    <t>AWL_RDT_0049</t>
  </si>
  <si>
    <t>VISITECT MALARIA PF/PAN</t>
  </si>
  <si>
    <t>AWL_RDT_0050</t>
  </si>
  <si>
    <t>VISITECT MALARIA PF/PV</t>
  </si>
  <si>
    <t>AWL_RDT_0051</t>
  </si>
  <si>
    <t>ORCHID BIOMEDICAL SYSTEMS / TULIP DIAGNOSTICS LTD</t>
  </si>
  <si>
    <t>PARACHECK PF - RAPID TEST FOR PF MALARIA DEVICE (VER. 3)</t>
  </si>
  <si>
    <t>AWL_RDT_0052</t>
  </si>
  <si>
    <t>PREMIER MEDICAL CORPORATION LTD</t>
  </si>
  <si>
    <t>FIRST RESPONSE MALARIA AG (PLDH/HRP2) COMBO CARD TEST</t>
  </si>
  <si>
    <t>BEN, CMR24</t>
  </si>
  <si>
    <t>AWL_RDT_0053</t>
  </si>
  <si>
    <t>FIRST RESPONSE MALARIA AG PF (HRP2) CARD TEST</t>
  </si>
  <si>
    <t>AWL_RDT_0054</t>
  </si>
  <si>
    <t>FIRST RESPONSE MALARIA AG PF/PV (HRP2/PLDH) CARD TEST</t>
  </si>
  <si>
    <t>AWL_RDT_0055</t>
  </si>
  <si>
    <t>QINGDAO HIGHTOP BIOTECH CO LTD</t>
  </si>
  <si>
    <t>MFA MALARIA PF/PV AG</t>
  </si>
  <si>
    <t>UUID:EBD98391-7411-4C3C-8333-8C58179DCACE</t>
  </si>
  <si>
    <t>CMR-AwL_4</t>
  </si>
  <si>
    <t>AWL_RDT_0056</t>
  </si>
  <si>
    <t>RAPIGEN INC</t>
  </si>
  <si>
    <t>BIOCREDIT MALARIA AG PF (PLDH)</t>
  </si>
  <si>
    <t>AWL_RDT_0057</t>
  </si>
  <si>
    <t>BIOCREDIT MALARIA AG PF (PLDH/HRPII)</t>
  </si>
  <si>
    <t>AWL_RDT_0058</t>
  </si>
  <si>
    <t>BIOCREDIT MALARIA AG PF/PV (PLDH/PLDH)</t>
  </si>
  <si>
    <t>AWL_RDT_0059</t>
  </si>
  <si>
    <t>SD BIOSENSOR INC</t>
  </si>
  <si>
    <t>STANDARD Q MALARIA PF / PAN AG TEST</t>
  </si>
  <si>
    <t>AWL_RDT_0060</t>
  </si>
  <si>
    <t>STANDARD Q MALARIA PF /PV AG TEST</t>
  </si>
  <si>
    <t>AWL_RDT_0061</t>
  </si>
  <si>
    <t>STANDARD Q MALARIA PF AG TEST</t>
  </si>
  <si>
    <t>AWL_RDT_0062</t>
  </si>
  <si>
    <t>VISION BIOTECH PTY LTD</t>
  </si>
  <si>
    <t>CLEARVIEW MALARIA COMBO TEST KIT</t>
  </si>
  <si>
    <t>03-1986</t>
  </si>
  <si>
    <t>BILLY_5</t>
  </si>
  <si>
    <t>AWL_RDT_0063</t>
  </si>
  <si>
    <t>CLEARVIEW MALARIA PF</t>
  </si>
  <si>
    <t xml:space="preserve">CMR24; NAFDAC </t>
  </si>
  <si>
    <t>03-1985</t>
  </si>
  <si>
    <t>AWL_RDT_0064</t>
  </si>
  <si>
    <t>WELLS BIO INC</t>
  </si>
  <si>
    <t>AWL_RDT_0065</t>
  </si>
  <si>
    <t>AWL_RDT_0066</t>
  </si>
  <si>
    <t>AWL_RDT_0067</t>
  </si>
  <si>
    <t>ZEPHYR BIOMEDICALS / TULIP DIAGNOSTICS LTD</t>
  </si>
  <si>
    <t>FALCIVAX - RAPID TEST FOR MALARIA PV/PF</t>
  </si>
  <si>
    <t>AWL_RDT_0068</t>
  </si>
  <si>
    <t>PARASCREEN RAPID TEST FOR MALARIA PAN/PF</t>
  </si>
  <si>
    <t>ID</t>
  </si>
  <si>
    <t>qaact</t>
  </si>
  <si>
    <t>a3</t>
  </si>
  <si>
    <t xml:space="preserve">amBrand </t>
  </si>
  <si>
    <t>ai1</t>
  </si>
  <si>
    <t>ai2</t>
  </si>
  <si>
    <t>ai3</t>
  </si>
  <si>
    <t>gname</t>
  </si>
  <si>
    <t>ai1_mg</t>
  </si>
  <si>
    <t>ai1_ml</t>
  </si>
  <si>
    <t>ai2_mg</t>
  </si>
  <si>
    <t>ai2_ml</t>
  </si>
  <si>
    <t>ai3_mg</t>
  </si>
  <si>
    <t>ai3_ml</t>
  </si>
  <si>
    <t>packtype</t>
  </si>
  <si>
    <t>packsize</t>
  </si>
  <si>
    <t>fdc</t>
  </si>
  <si>
    <t>salt</t>
  </si>
  <si>
    <t>amManu</t>
  </si>
  <si>
    <t>country</t>
  </si>
  <si>
    <t>Date of WHO prequalification</t>
  </si>
  <si>
    <t>Ref.No</t>
  </si>
  <si>
    <t>Global Fund QA Standard</t>
  </si>
  <si>
    <t>WHO
Prequalification/ SRA</t>
  </si>
  <si>
    <t>Manufacturing site</t>
  </si>
  <si>
    <t>gname_original</t>
  </si>
  <si>
    <t>cleaning notes</t>
  </si>
  <si>
    <t>GF</t>
  </si>
  <si>
    <t>Tablet</t>
  </si>
  <si>
    <t>ARTEQUIN</t>
  </si>
  <si>
    <t>Artesunate</t>
  </si>
  <si>
    <t>Mefloquine</t>
  </si>
  <si>
    <t>Artesunate + Mefloquin</t>
  </si>
  <si>
    <t>Co-blister</t>
  </si>
  <si>
    <t>3+6</t>
  </si>
  <si>
    <t>Acino Pharma Ltd</t>
  </si>
  <si>
    <t>SWITZERLAND</t>
  </si>
  <si>
    <t>M15</t>
  </si>
  <si>
    <t>B</t>
  </si>
  <si>
    <t>Yes</t>
  </si>
  <si>
    <t>Dornacherstrasse, Aesch</t>
  </si>
  <si>
    <t>Artesunate + Mefloquine (Co- Blistered)</t>
  </si>
  <si>
    <t>changed manu; Mepha merged with Acino https://healthcare-digital.com/procurement-and-supply-chain/mepha-llc-merges-acino-pharma</t>
  </si>
  <si>
    <t>Blister</t>
  </si>
  <si>
    <t>4, 6, 8, 2008</t>
  </si>
  <si>
    <t>M22</t>
  </si>
  <si>
    <t>Acino Pharma AG, Aesch</t>
  </si>
  <si>
    <t>Tablet, dispersible</t>
  </si>
  <si>
    <t>artemether</t>
  </si>
  <si>
    <t>lumefantrine</t>
  </si>
  <si>
    <t>AL</t>
  </si>
  <si>
    <t>blister</t>
  </si>
  <si>
    <t xml:space="preserve"> 6x1, 12x1; 6x30, 12x30 | GF 2*8, 3*8,  18*30, 24*30</t>
  </si>
  <si>
    <t>AJANTA PHARMA LTD</t>
  </si>
  <si>
    <t>INDIA</t>
  </si>
  <si>
    <t>MA092</t>
  </si>
  <si>
    <t>M4</t>
  </si>
  <si>
    <t>A</t>
  </si>
  <si>
    <t>Paithan, Aurangabad</t>
  </si>
  <si>
    <t>Artemether/Lumefantrine</t>
  </si>
  <si>
    <t>WHO, GF</t>
  </si>
  <si>
    <t>6x1,12x1, 18x1, 24x1, 6x30,12x30, 18x30, 24x30</t>
  </si>
  <si>
    <t>yes</t>
  </si>
  <si>
    <t>MA111</t>
  </si>
  <si>
    <t>M5</t>
  </si>
  <si>
    <t>Ajanta Pharma Limited, Z/103/A, Dahej SEZ-II, Bharuch, Gujarat, 392130, India
Ajanta Pharma Ltd, B4/5/6 MIDC Industrial Area, Aurangabad, Paithan District, Maharashtra, 431
148, India</t>
  </si>
  <si>
    <t xml:space="preserve"> 6x1; 6x30</t>
  </si>
  <si>
    <t>MA128</t>
  </si>
  <si>
    <t>M6</t>
  </si>
  <si>
    <t>B4/5/6 MIDC
Industrial Area, Aurangabad, Paithan District, Maharashtra</t>
  </si>
  <si>
    <t>MA129</t>
  </si>
  <si>
    <t>M31</t>
  </si>
  <si>
    <t>MA130</t>
  </si>
  <si>
    <t>M7</t>
  </si>
  <si>
    <t>Amodiaquine</t>
  </si>
  <si>
    <t>Amodiaquine + Artesunate</t>
  </si>
  <si>
    <t>Al/Alu Blister</t>
  </si>
  <si>
    <t>yes?</t>
  </si>
  <si>
    <t>M12</t>
  </si>
  <si>
    <t>Paithan, Aurangabad, Maharashtra</t>
  </si>
  <si>
    <t>Amodiaquin(as Hydrochloride)+Artesunate (FDC)</t>
  </si>
  <si>
    <t>1x3</t>
  </si>
  <si>
    <t>M13</t>
  </si>
  <si>
    <t>1x3, 1x6</t>
  </si>
  <si>
    <t>M14</t>
  </si>
  <si>
    <t>Tablet, film coated</t>
  </si>
  <si>
    <t>dihydroartemisinin</t>
  </si>
  <si>
    <t>piperaquine</t>
  </si>
  <si>
    <t>DHA + PQP</t>
  </si>
  <si>
    <t xml:space="preserve"> 3x1</t>
  </si>
  <si>
    <t>ALFASIGMA S.P.A</t>
  </si>
  <si>
    <t>ITALY</t>
  </si>
  <si>
    <t>MA093 (a)</t>
  </si>
  <si>
    <t>M23</t>
  </si>
  <si>
    <t>A-B</t>
  </si>
  <si>
    <t>MA093</t>
  </si>
  <si>
    <t>Pomezia</t>
  </si>
  <si>
    <t>Dihydroartemisinin/Piperaquine phosphate</t>
  </si>
  <si>
    <t xml:space="preserve"> 3x1,6x1,9x1,12x1</t>
  </si>
  <si>
    <t>MA094 (a)</t>
  </si>
  <si>
    <t>M24</t>
  </si>
  <si>
    <t>MA094</t>
  </si>
  <si>
    <t>Proguanil</t>
  </si>
  <si>
    <t>HDPE Bottle; Blister</t>
  </si>
  <si>
    <t>100;
98</t>
  </si>
  <si>
    <t>Alliance Pharma (Ireland) Ltd</t>
  </si>
  <si>
    <t>UK</t>
  </si>
  <si>
    <t>M30</t>
  </si>
  <si>
    <t>ANDERSONBRECON (UK) LIMITED
WYE VALLEY BUSINESS PARK
BRECON ROAD, HAY-ON- WYE, HEREFORD
HEREFORDSHIRE, HR3 5PG</t>
  </si>
  <si>
    <t>Chloroquine (as Phosphate)</t>
  </si>
  <si>
    <t>Chloroquine</t>
  </si>
  <si>
    <t>250 as phosphate (155 as base)</t>
  </si>
  <si>
    <t>100;
20</t>
  </si>
  <si>
    <t>Alliance Pharmaceuticals, UK</t>
  </si>
  <si>
    <t>M21</t>
  </si>
  <si>
    <t>AndersonBrecon (UK) Limited,</t>
  </si>
  <si>
    <t>6x1, 6x2, 6x3, 6x4; PCTFE 6x1, 12x1, 18x1, 24x1</t>
  </si>
  <si>
    <t>CIPLA LTD</t>
  </si>
  <si>
    <t>INDIA; UGANDA</t>
  </si>
  <si>
    <t>MA064</t>
  </si>
  <si>
    <t>Patalganga; Himachal Pradesh, Goa
Kurkumbh, Indore; Quality Chemical Industries Ltd, Kampala,</t>
  </si>
  <si>
    <t xml:space="preserve"> 6x1;12x1;18x1;6x30;12x30;18x30</t>
  </si>
  <si>
    <t>MA115</t>
  </si>
  <si>
    <t>Cipla Ltd, Unit IV, Plot No 9, 10 &amp; 15 Indore Special Economic Zone, Phase II, Pithampur, Dhar District, Madhya Pradesh, 454 775, India</t>
  </si>
  <si>
    <t xml:space="preserve"> 6x1</t>
  </si>
  <si>
    <t>MA120</t>
  </si>
  <si>
    <t>Vill. Malpur, Baddi, Distt. Solan (H.P.) 173205</t>
  </si>
  <si>
    <t>MA121</t>
  </si>
  <si>
    <t>MA122</t>
  </si>
  <si>
    <t>amodiaquine</t>
  </si>
  <si>
    <t>3x1, 3x25</t>
  </si>
  <si>
    <t>MA102</t>
  </si>
  <si>
    <t>Unit 1, Plot A-33, A- 37 &amp; A-2 MIDC
Industrial Area, Patalganga, Raigad District, Maharashtra, 410
220, India Unit 2, Plot A-42 MIDC Industrial Area, Patalganga, Raigad District, Maharashtra, 410
220, India</t>
  </si>
  <si>
    <t>Amodiaquine (hydrochloride)/Artesunate</t>
  </si>
  <si>
    <t>MA103</t>
  </si>
  <si>
    <t>PVC/PVDC/Al
u blister</t>
  </si>
  <si>
    <t>3+3, 6+6, 12+12</t>
  </si>
  <si>
    <t>M9</t>
  </si>
  <si>
    <t>Goa; Patalanga</t>
  </si>
  <si>
    <t>Artesunate + Amodiaquine (Co- Blistred)</t>
  </si>
  <si>
    <t>3x1, 6x1, 3x25, 6x25</t>
  </si>
  <si>
    <t>MA104</t>
  </si>
  <si>
    <t xml:space="preserve">Tablet, rectal </t>
  </si>
  <si>
    <t>artesunate</t>
  </si>
  <si>
    <t xml:space="preserve"> 2x1</t>
  </si>
  <si>
    <t>MA124</t>
  </si>
  <si>
    <t>M33</t>
  </si>
  <si>
    <t>Cipla Limited, D7, MIDC
Industrial area Kurkumbh
Dist Pune 413802 INDIA</t>
  </si>
  <si>
    <t>mefloquine</t>
  </si>
  <si>
    <t>3x1; 3x2</t>
  </si>
  <si>
    <t>DRUGS FOR NEGLECTED DISEASES INITIATIVE (DNDI); CIPLA LTD</t>
  </si>
  <si>
    <t>SWITZERLAND; INDIA</t>
  </si>
  <si>
    <t>MA078</t>
  </si>
  <si>
    <t>M16</t>
  </si>
  <si>
    <t>Patalganga</t>
  </si>
  <si>
    <t>Artesunate/Mefloquine (hydrochloride)</t>
  </si>
  <si>
    <t>MA079</t>
  </si>
  <si>
    <t>M17</t>
  </si>
  <si>
    <t xml:space="preserve"> 6x30; 6x1</t>
  </si>
  <si>
    <t>GUILIN PHARMACEUTICAL CO LTD</t>
  </si>
  <si>
    <t>CHINA</t>
  </si>
  <si>
    <t>MA153</t>
  </si>
  <si>
    <t xml:space="preserve">  24X20; 6x1; 12x1; 18x1; 24x1; 6x30; 12x30; 18x30; 24x30</t>
  </si>
  <si>
    <t>MA164</t>
  </si>
  <si>
    <t>MA154</t>
  </si>
  <si>
    <t xml:space="preserve"> 6x1; 6x20; 6x30</t>
  </si>
  <si>
    <t>MA155</t>
  </si>
  <si>
    <t xml:space="preserve">  6x20; 6x1; 6x30</t>
  </si>
  <si>
    <t>MA165</t>
  </si>
  <si>
    <t>6x2</t>
  </si>
  <si>
    <t>MA045</t>
  </si>
  <si>
    <t>Amodiaquine (hydrochloride)</t>
  </si>
  <si>
    <t>3x1; 3x25</t>
  </si>
  <si>
    <t>MA083</t>
  </si>
  <si>
    <t>Oral Solid Dosage Workshop II
No. 43, Qilidian Road, Guilin 541004,
Guangxi</t>
  </si>
  <si>
    <t>MA084</t>
  </si>
  <si>
    <t>Guilin, Guangxi, China</t>
  </si>
  <si>
    <t>(3+3)x1, (6+6)x1, (12+12)x1 | GF (3x(4+4)</t>
  </si>
  <si>
    <t>MA046</t>
  </si>
  <si>
    <t>M8</t>
  </si>
  <si>
    <t>Guilin, Guangxi,</t>
  </si>
  <si>
    <t>Amodiaquine (hydrochloride) + Artesunate</t>
  </si>
  <si>
    <t>3x1; 3x25; 6x1; 6x25</t>
  </si>
  <si>
    <t>MA085</t>
  </si>
  <si>
    <t>pyrimethamine</t>
  </si>
  <si>
    <t>sulfadoxine</t>
  </si>
  <si>
    <t>Amodiaquine + SP</t>
  </si>
  <si>
    <t xml:space="preserve">  (1+3)x50</t>
  </si>
  <si>
    <t>MA116</t>
  </si>
  <si>
    <t>M36</t>
  </si>
  <si>
    <t>Guilin Pharmaceuticals Co.
Ltd, No. 43 Quilidian road, Guilin</t>
  </si>
  <si>
    <t>Pyrimethamine/Sulfadoxine + Amodiaquine (hydrochloride)</t>
  </si>
  <si>
    <t>(1+3)x25, (1+3)x50</t>
  </si>
  <si>
    <t>MA098</t>
  </si>
  <si>
    <t>M34</t>
  </si>
  <si>
    <t xml:space="preserve">  (1+3) x 50</t>
  </si>
  <si>
    <t>MA117</t>
  </si>
  <si>
    <t>M35</t>
  </si>
  <si>
    <t>Powder for injection</t>
  </si>
  <si>
    <t>Glass Vial</t>
  </si>
  <si>
    <t>Vial; 1 vial of artesunate powder is co-packed with 1 ampoule of sodium bicarbonate injection (0.5mL:25mg) and 1 ampoule of sodium chloride injection (2.5mL:22.5mg)</t>
  </si>
  <si>
    <t>M1</t>
  </si>
  <si>
    <t>vial/ ampoule</t>
  </si>
  <si>
    <t>1x7ml +1x50mgml</t>
  </si>
  <si>
    <t>MA051</t>
  </si>
  <si>
    <t>Artesunate + Sodium Bicarbonate + Sodium Chloride</t>
  </si>
  <si>
    <t>30mg/vial + 5%m/v + 0.9%m/v</t>
  </si>
  <si>
    <t>30mg7ml + 0.5mlml + 2.5ml5ml</t>
  </si>
  <si>
    <t>MA089</t>
  </si>
  <si>
    <t>120mg/vial + 5%m/v + 0.9%m/v</t>
  </si>
  <si>
    <t>120mg15ml + 100mg2ml + 90mg10ml</t>
  </si>
  <si>
    <t>MA090</t>
  </si>
  <si>
    <t>Glass vial</t>
  </si>
  <si>
    <t>Vial glass 5mlx1 (artesunate powder); Ampoule, glass 3mlx1 (solvent
: arginine and Sodium bicarbonate)</t>
  </si>
  <si>
    <t>M2</t>
  </si>
  <si>
    <t>MA168</t>
  </si>
  <si>
    <t>Guilin Pharmaceutical Co Ltd
INJ-I &amp; INJ-II, No
43 Qilidian Road
Guilin, Guangxi 541
004 China</t>
  </si>
  <si>
    <t>Vial [1 vial of artesunate powder is co- packed with 1
ampoule of sodium bicarbonate injection (1ml:50mg) and 1 ampoule of sodium chloride injection (5ml:45mg)]</t>
  </si>
  <si>
    <t>Vial; 1 vial of artesunate powder is co-packed with 1 ampoule of sodium bicarbonate injection (2mL:100mg) and 1 ampoule of sodium chloride injection (10mL:90mg)</t>
  </si>
  <si>
    <t>M3</t>
  </si>
  <si>
    <t>:12x1</t>
  </si>
  <si>
    <t>MA044</t>
  </si>
  <si>
    <t>Artesunate + SP</t>
  </si>
  <si>
    <t>1x(3+1), 1x(6+2)</t>
  </si>
  <si>
    <t>MA066</t>
  </si>
  <si>
    <t>M37</t>
  </si>
  <si>
    <t>Guilin Pharmaceutical Co Ltd, No 43 Qilidian Road, Guilin, Guangxi, 541 004</t>
  </si>
  <si>
    <t>Pyrimethamine/Sulfadoxine + Artesunate</t>
  </si>
  <si>
    <t xml:space="preserve">  (3+6) x1, (2+3) x1</t>
  </si>
  <si>
    <t>MA068</t>
  </si>
  <si>
    <t>M38</t>
  </si>
  <si>
    <t xml:space="preserve"> 3x25; 3x2</t>
  </si>
  <si>
    <t>MA141</t>
  </si>
  <si>
    <t>Oral Solid Dosage Workshop II
No. 43, Qilidian Road, Guilin 541004, Guangxi</t>
  </si>
  <si>
    <t>3x25; 3x2</t>
  </si>
  <si>
    <t>MA157</t>
  </si>
  <si>
    <t>M42</t>
  </si>
  <si>
    <t>9x25; 9x1</t>
  </si>
  <si>
    <t>MA131</t>
  </si>
  <si>
    <t>MA139</t>
  </si>
  <si>
    <t>M39</t>
  </si>
  <si>
    <t>6x256x1</t>
  </si>
  <si>
    <t>MA151</t>
  </si>
  <si>
    <t>M41</t>
  </si>
  <si>
    <t xml:space="preserve"> 6x25; 6x1</t>
  </si>
  <si>
    <t>MA140</t>
  </si>
  <si>
    <t>M40</t>
  </si>
  <si>
    <t>Dispersible tablet</t>
  </si>
  <si>
    <t>SP</t>
  </si>
  <si>
    <t>Blister; Alu/PVC</t>
  </si>
  <si>
    <t>1x3'; 10x3'; 50x3';
100x3'</t>
  </si>
  <si>
    <t>M29</t>
  </si>
  <si>
    <t>MA178</t>
  </si>
  <si>
    <t>Guilin Pharmaceutical Co., Ltd.
OSD, No 43
Qilidian Road Guilin, Guangxi 541
004 China</t>
  </si>
  <si>
    <t>Sulfadoxine/Pyrimethamine</t>
  </si>
  <si>
    <t>changed ai order</t>
  </si>
  <si>
    <t>3x1, 3x10, 3x50, 3x100; HDPE bottle 100x1; 1000x1</t>
  </si>
  <si>
    <t>MA113</t>
  </si>
  <si>
    <t>Guilin Pharmaceuticals Co.
Ltd, No. 43 Quilidian road,</t>
  </si>
  <si>
    <t>Pyrimethamine/Sulfadoxine</t>
  </si>
  <si>
    <t>Disp. Tablet</t>
  </si>
  <si>
    <t>MA179</t>
  </si>
  <si>
    <t>6x1, 6x2, 6x3, 6x4, 6x30, 12x30, 18x30, 24x30</t>
  </si>
  <si>
    <t>IPCA LABORATORIES LTD</t>
  </si>
  <si>
    <t>MA062</t>
  </si>
  <si>
    <t>Dadra and Nagar Haveli,</t>
  </si>
  <si>
    <t>6x1, 12x1, 6x30, 12x30;   12x1, 6x30, 12x30,</t>
  </si>
  <si>
    <t>MA136</t>
  </si>
  <si>
    <t>Ipca Laboratories Ltd Plot No : 255/1, Village Athal, Dadra and Nagar
Haveli (U.T), Silvassa
– 396 230, India
Ipca Laboratories Limited, 1 Pharma Zone, SEZ Indore, Pithampur, Madhya Pradesh, 454775, India</t>
  </si>
  <si>
    <t xml:space="preserve">  6x1, 6x30, 6x1x30</t>
  </si>
  <si>
    <t>MA160</t>
  </si>
  <si>
    <t>3x10, 3x25</t>
  </si>
  <si>
    <t>MA080</t>
  </si>
  <si>
    <t>Dadra and Nagar Haveli</t>
  </si>
  <si>
    <t>MA081</t>
  </si>
  <si>
    <t>PVdC/PVC/Al u blister</t>
  </si>
  <si>
    <t>12+12, 6+6, 3+3</t>
  </si>
  <si>
    <t>Artesunate + Amodiaquine (Co- Blistered)</t>
  </si>
  <si>
    <t>3x10, 6x10, 3x25, 6x25</t>
  </si>
  <si>
    <t>MA082</t>
  </si>
  <si>
    <t>60mg + 5%w/v + 0.9%w/v</t>
  </si>
  <si>
    <t>Vial, USP Type I glass  1x1, 1ml of sodium bicarbonate 5% wv, ampoule5ml of sodium chloride 0.9% wv, ampoule</t>
  </si>
  <si>
    <t>MA135</t>
  </si>
  <si>
    <t>Ipca Laboratories Ltd, Sejavta, Ratlam, Madhya Pradesh, 457 002</t>
  </si>
  <si>
    <t>6x1, 6x2, 6x3, 6x4, 6x1x30, 12x1x30, 18x1x30, 24x1x30, 6x30, 12x30, 18x30, 24x30,</t>
  </si>
  <si>
    <t>LABORAT󲩯S BASI - INDSTRIA FARMAC굴ICA S.A.; IPCA LABORATORIES LTD</t>
  </si>
  <si>
    <t>PORTUGAL; INDIA</t>
  </si>
  <si>
    <t>MA167</t>
  </si>
  <si>
    <t>LTT Pharma Lexon UK</t>
  </si>
  <si>
    <t>Swiss</t>
  </si>
  <si>
    <t>Hoffmann-LA Roche</t>
  </si>
  <si>
    <t xml:space="preserve"> 10x10; 3x1; 3x25</t>
  </si>
  <si>
    <t>MACLEODS PHARMACEUTICALS LTD</t>
  </si>
  <si>
    <t>MA125</t>
  </si>
  <si>
    <t>Unit 2, Plot No 25-
27, Survey No 366, Premier Industrial Estate, Kachigam, Daman, 396 210</t>
  </si>
  <si>
    <t>MA126</t>
  </si>
  <si>
    <t>Unit 2, Plot No 25-27, Survey No 366, Premier Industrial Estate, Kachigam, Daman, 396
210</t>
  </si>
  <si>
    <t xml:space="preserve"> 10x10; 3x1; 6x1; 3x25, 6x25</t>
  </si>
  <si>
    <t>MA127</t>
  </si>
  <si>
    <t>50x (3+1)</t>
  </si>
  <si>
    <t>MA170</t>
  </si>
  <si>
    <t>Macleods Pharmaceuticals Ltd
Unit II, Plot No.: 25- 27
Survey No.: 366, Premier Industrial Estate, Kachigam, Daman-396210</t>
  </si>
  <si>
    <t>MA171</t>
  </si>
  <si>
    <t xml:space="preserve">10mlx1 +  1mlx1+  5mlx1 </t>
  </si>
  <si>
    <t>MA152</t>
  </si>
  <si>
    <t>Macleods Pharmaceuticals Ltd, Unit 2, Plot No 25-27, Survey No 366, Premier Industrial Estate, Kachigam, Daman, 396
210, India &amp; Immacule
Lifesciences Pvt Limited Village Thanthewal, Ropar Road, Nalagarh, Dist.-. Solan Himachal Pradesh - 174101</t>
  </si>
  <si>
    <t>Primaquine</t>
  </si>
  <si>
    <t>Al/Al blister HDPE
bottle</t>
  </si>
  <si>
    <t>10x10
100</t>
  </si>
  <si>
    <t>M26</t>
  </si>
  <si>
    <t>ERP reviewed; valid until 23.May.2024</t>
  </si>
  <si>
    <t>Macleods Pharmaceuticals Ltd.
Block N2, Village Theda,
Post Office Lodhimajra, Tehsil Baddi, Distt. Solan,
Himachal Pradesh, 174101</t>
  </si>
  <si>
    <t xml:space="preserve"> 11x10; 3x1; 3x10; 3x25; 3x50; 3x100</t>
  </si>
  <si>
    <t>MA158</t>
  </si>
  <si>
    <t>Macleods Pharmaceuticals Ltd, Unit 2, Plot No 25-27, Survey No
366, Premier Industrial Estate, Kachigam, Daman, 396 210, India</t>
  </si>
  <si>
    <t xml:space="preserve"> 10x10; 3x1; 3x10; 3x25; 3x50; 3x100</t>
  </si>
  <si>
    <t>MA159</t>
  </si>
  <si>
    <t>Aclar:6x1, 6x2, 6x3, 6x4, 6x30, 8x3, 12x1, 12x2, 12x30, 18x1, 18x30, 24x1, 24x30;  6x1, 6x2, 6x3, 6x4, 6x30, 8x3, 12x1, 12x2, 12x30, 18x1, 18x30, 24x1, 24x30</t>
  </si>
  <si>
    <t>MACLEODS PHARMACEUTICALS LTD; OXALIS LABS</t>
  </si>
  <si>
    <t>MA091</t>
  </si>
  <si>
    <t>Kachigam Daman
Oxalis lab, Baddi Solan Dist</t>
  </si>
  <si>
    <t>6x17; 6x30; 12x30</t>
  </si>
  <si>
    <t>MA137</t>
  </si>
  <si>
    <t>Oxalis Labs, Vill.
Theda, P.O.lodhimajra, Baddi, Distt. Solan</t>
  </si>
  <si>
    <t xml:space="preserve">  10x10; 6x30; 6x1</t>
  </si>
  <si>
    <t>MA143</t>
  </si>
  <si>
    <t>Oxalis Labs Village Theda, P.O Lodhimajra, Baddi, Distt. Solan, Himachal Pradesh, 174101</t>
  </si>
  <si>
    <t xml:space="preserve">  15x10; 6x30; 6x1</t>
  </si>
  <si>
    <t>MA142</t>
  </si>
  <si>
    <t xml:space="preserve"> 3x1, 3x10, 3x25; 3x1, 3x10, 3x25</t>
  </si>
  <si>
    <t>MICRO LABS LTD</t>
  </si>
  <si>
    <t>MA132</t>
  </si>
  <si>
    <t>Plot No. S-155 to S- 159 &amp; N1, Phase III &amp; Phase IV, Verna Industrial Estate, Verna, Goa, 403 722</t>
  </si>
  <si>
    <t>MA133</t>
  </si>
  <si>
    <t xml:space="preserve"> 3x1, 3x10, 3x25, 6x1, 6x10, 6x25; 3x1, 3x10, 3x25, 6x1, 6x10, 6x25</t>
  </si>
  <si>
    <t>MA134</t>
  </si>
  <si>
    <t>6x1, 6x2, 6x3, 6x4; 18x1; 24x1; 18x10;24x10;18x30; 24x30</t>
  </si>
  <si>
    <t>MYLAN LABORATORIES LTD</t>
  </si>
  <si>
    <t>MA099</t>
  </si>
  <si>
    <t>Mylan Laboratories Ltd, F4 &amp; F12 Malegaon MIDC, Sinnar, Nashik District, Maharashtra, 422 113, India
Mylan Laboratories Ltd, Plot No 11, 12 &amp; 13, Indore Special Economic Zone, Pharma Zone, Phase II, Sector III, Pithampur, District Dhar, Madya Pradesh, 454 775, India Mylan Laboratories Limited Lusaka Zambia</t>
  </si>
  <si>
    <t>6x1, 6x2, 6x3, 6x4;
18x1; 24x1;
18x10;24x10;18x30
; 24x30</t>
  </si>
  <si>
    <t>MA100</t>
  </si>
  <si>
    <t>Mylan Laboratories Ltd, F4 &amp; F12 Malegaon MIDC, Sinnar, Nashik District, Maharashtra, 422 113, India
Mylan Laboratories Ltd, Plot No 11, 12 &amp; 13, Indore Special Economic Zone, Pharma Zone, Phase II, Sector III, Pithampur, District Dhar, Madya Pradesh, 454 775, India</t>
  </si>
  <si>
    <t>Artemether</t>
  </si>
  <si>
    <t>Lumefantrine</t>
  </si>
  <si>
    <t>6, 12, 18, 24</t>
  </si>
  <si>
    <t>NOVARTIS</t>
  </si>
  <si>
    <t>USA, TURKEY, CHINA</t>
  </si>
  <si>
    <t>A - B</t>
  </si>
  <si>
    <t>Beijing; Suffern Philadelphia Istambul</t>
  </si>
  <si>
    <t>Artemether + Lumefantrine (FDC)</t>
  </si>
  <si>
    <t>Dispersible tablets</t>
  </si>
  <si>
    <t>PVC/Alu blister or PVC/PCTFE/
Alu blister</t>
  </si>
  <si>
    <t>6*30; 12*30; 18*30</t>
  </si>
  <si>
    <t>Rockford, Illinois Conshohocken, Pennsylvania Suffern
Istambul Beijing</t>
  </si>
  <si>
    <t>SWITZERLAND; USA, TURKEY</t>
  </si>
  <si>
    <t>MA108</t>
  </si>
  <si>
    <t>Ramapo, Rockland County Philadelphia, Pennsylvania Rockford, Illinois Istambul</t>
  </si>
  <si>
    <t>Public market (18x30, 24x30), Private market Africa (6x3, 6x4), Private market Switzerland (6x4)</t>
  </si>
  <si>
    <t>NOVARTIS; ANDERSON BRECON INC</t>
  </si>
  <si>
    <t>SWITZERLAND; USA, TURKEY, CHINA</t>
  </si>
  <si>
    <t>MA026 (a)</t>
  </si>
  <si>
    <t xml:space="preserve">  6x1, 6x2,  6x30, 12x30</t>
  </si>
  <si>
    <t>MA069 (a)</t>
  </si>
  <si>
    <t>Sugar coated Tablet</t>
  </si>
  <si>
    <t>250 as phosphate (155  as base)</t>
  </si>
  <si>
    <t>PP/PE/ Bottle Al/PVC Blister</t>
  </si>
  <si>
    <t>100, 500, 1000
10*10 tabs; (100*10 tabs)</t>
  </si>
  <si>
    <t>Remedica</t>
  </si>
  <si>
    <t>CYPRUS</t>
  </si>
  <si>
    <t>Cyprus MA 012096</t>
  </si>
  <si>
    <t>Limassol</t>
  </si>
  <si>
    <t>Film coated Tablet</t>
  </si>
  <si>
    <t>7.5 ( as base) (equivalent to 13.2 Primaquine Phosphate)</t>
  </si>
  <si>
    <t>100; 1000
10*10 tab, 10*100 tab</t>
  </si>
  <si>
    <t>M25</t>
  </si>
  <si>
    <t>Tablet; film-coated</t>
  </si>
  <si>
    <t>Quinine</t>
  </si>
  <si>
    <t>100, 1000
10*10 tabs; 10*100 tabs</t>
  </si>
  <si>
    <t>M28</t>
  </si>
  <si>
    <t>Quinine Sulphate</t>
  </si>
  <si>
    <t>Al/PVC blister PE container</t>
  </si>
  <si>
    <t>1*3 tabs and , 10* 3tabs
100's and 1000's</t>
  </si>
  <si>
    <t>Injectable solution</t>
  </si>
  <si>
    <t>Ampoule</t>
  </si>
  <si>
    <t>10, 100</t>
  </si>
  <si>
    <t>Renaudin Laboratoire</t>
  </si>
  <si>
    <t>FRANCE</t>
  </si>
  <si>
    <t>M27</t>
  </si>
  <si>
    <t>French AMM 354
009-1 and 354 013
9</t>
  </si>
  <si>
    <t>Zone Artisanale Errobi</t>
  </si>
  <si>
    <t>Quinine Di Hydrochloride</t>
  </si>
  <si>
    <t>Roche, UK</t>
  </si>
  <si>
    <t>Roche Welwyn Garden City</t>
  </si>
  <si>
    <t>(1+3) x 25, (1+3) x 50</t>
  </si>
  <si>
    <t>S KANT HEALTHCARE LTD</t>
  </si>
  <si>
    <t>MA146</t>
  </si>
  <si>
    <t>S Kant Healthcare Limited, Plot No. 1802-1805, G.I.D.C,
Phase III, Vapi, Gujarat, 396195, India</t>
  </si>
  <si>
    <t>(1+3) x 25; (1+3) x 50</t>
  </si>
  <si>
    <t>MA147</t>
  </si>
  <si>
    <t xml:space="preserve"> 3x1, 3x10, 3x25, 3x50, 3x100, 10x11</t>
  </si>
  <si>
    <t>MA144</t>
  </si>
  <si>
    <t xml:space="preserve"> 3x1, 3x10, 3x25, 3x50, 10x10</t>
  </si>
  <si>
    <t>MA145</t>
  </si>
  <si>
    <t>Solution for injection</t>
  </si>
  <si>
    <t>Ampoule, 1mlx6</t>
  </si>
  <si>
    <t>Sanofi</t>
  </si>
  <si>
    <t>MA087</t>
  </si>
  <si>
    <t>Haupt Pharma Livron SAS, 1 rue Comte de Sinard, Livron sur Drôme, 26250</t>
  </si>
  <si>
    <t>15 (as base) (equivalent to 26.3 Primaquine Phosphate)</t>
  </si>
  <si>
    <t>HDPE bottle</t>
  </si>
  <si>
    <t>Sanofi / Valeant Pharmaceuticals</t>
  </si>
  <si>
    <t>CANADA</t>
  </si>
  <si>
    <t>Laval, Quebec</t>
  </si>
  <si>
    <t>3*1, 3*25</t>
  </si>
  <si>
    <t>Sanofi Aventis</t>
  </si>
  <si>
    <t>MOROCCO</t>
  </si>
  <si>
    <t>Maphar Lab,Casablanca</t>
  </si>
  <si>
    <t>Amodiaquine+Artesunate (FDC)</t>
  </si>
  <si>
    <t>1*3, 25*3</t>
  </si>
  <si>
    <t>3*1, 3*25,6*1, 6*25</t>
  </si>
  <si>
    <t>MOROCCO, GERMANY</t>
  </si>
  <si>
    <t>Maphar Lab,Casablanca, Morocco; Rottendorf Pharma, Ennigerloh, Germany; Batch released by: I41Sanofi-Aventis Maroc, Casablanca, Morocco</t>
  </si>
  <si>
    <t>SANOFI; MAPHAR LABORATORIES</t>
  </si>
  <si>
    <t>FRANCE; MOROCCO</t>
  </si>
  <si>
    <t>MA056</t>
  </si>
  <si>
    <t xml:space="preserve"> 3x1, 3x25</t>
  </si>
  <si>
    <t>MA057</t>
  </si>
  <si>
    <t>3x1, 3x25, 6x1, 6x25</t>
  </si>
  <si>
    <t>FRANCE; MOROCCO, GERMANY</t>
  </si>
  <si>
    <t>MA058</t>
  </si>
  <si>
    <t>Granule</t>
  </si>
  <si>
    <t>pyronodrine</t>
  </si>
  <si>
    <t>Artesunate + Pyronaridine</t>
  </si>
  <si>
    <t>sachet</t>
  </si>
  <si>
    <t>90x1</t>
  </si>
  <si>
    <t>SHIN POONG PHARMACEUTICAL CO LTD</t>
  </si>
  <si>
    <t>KOREA</t>
  </si>
  <si>
    <t>EMA Art 58 H-W-2319-3</t>
  </si>
  <si>
    <t>M11</t>
  </si>
  <si>
    <t>EMA Art 58 H-W- 2319-3</t>
  </si>
  <si>
    <t>Shin Poong Pharmaceutical Co., Ltd,Gyeonggi-do</t>
  </si>
  <si>
    <t>Artesunate/Pyronaridine (phosphate)</t>
  </si>
  <si>
    <t>90(9'sx10)</t>
  </si>
  <si>
    <t>EMA Art 58 H-W-2319-2</t>
  </si>
  <si>
    <t>M10</t>
  </si>
  <si>
    <t>EMA Art 58 H-W- 2319</t>
  </si>
  <si>
    <t>6x1; 6x30</t>
  </si>
  <si>
    <t>STRIDES PHARMA GLOBAL PTE LTD</t>
  </si>
  <si>
    <t>SINGAPORE; KENYA, INDIA</t>
  </si>
  <si>
    <t>MA138</t>
  </si>
  <si>
    <t>Strides Pharma Science Limited, Oral Solid Dosage Forms Division, KRS Gardens, 36/7, Suragajakkanahalli, Indlawadi Cross, Anekal Taluk, Bangalore, Karnataka, 562 106, India
Universal Corporation Ltd, PO Box 1748, Club Road, Plot No 13777, Kikuyu, 902, Kenya</t>
  </si>
  <si>
    <t>6x1, 6x4, 6x30, 12x30, 18x30, 24x30</t>
  </si>
  <si>
    <t>STRIDES PHARMA GLOBAL PTE LTD; UNIVERSAL CORPORATION LTD</t>
  </si>
  <si>
    <t>MA088</t>
  </si>
  <si>
    <t>Universal Corporation Ltd, PO Box 1748, Club Road, Plot No 13777, Kikuyu, 902, Kenya Strides Pharma Science Limited, Oral Solid Dosage Forms Division, KRS Gardens, 36/7, Suragajakkanahalli, Indlawadi Cross, Anekal Taluk, Bangalore, Karnataka, 562 106, India</t>
  </si>
  <si>
    <t>6x1, 12x1, 6x30, 12x30</t>
  </si>
  <si>
    <t>MA110</t>
  </si>
  <si>
    <t>10x(12+12), 10x (6+6), 10x(3+3)</t>
  </si>
  <si>
    <t>Strides Arcolab Limited</t>
  </si>
  <si>
    <t>Bangalore</t>
  </si>
  <si>
    <t>SINGAPORE; INDIA</t>
  </si>
  <si>
    <t>MA123</t>
  </si>
  <si>
    <t>Strides Shasun ltd- 36/7,
Suragajakkanahalli Indlavadi Cross, Anekal Taluk Bangalore</t>
  </si>
  <si>
    <t>2x14tabs, (box of 28 tabs)</t>
  </si>
  <si>
    <t>Strides Pharma UK Ltd</t>
  </si>
  <si>
    <t>PL 13606/0058</t>
  </si>
  <si>
    <t>Strides Pharma UK Ltd.
Unit 4, Metro Centre Tolpits Lane, Watford, Hertfordshire, WD18 9SS United Kingdom</t>
  </si>
  <si>
    <t>Co-blistered dispersible tablet</t>
  </si>
  <si>
    <t>Sulfadoxine</t>
  </si>
  <si>
    <t>Pyrimethamine</t>
  </si>
  <si>
    <t>Blister, Alu/PVDC/PV C</t>
  </si>
  <si>
    <t>25x (3+1); 30x
(3+1); 50x (3+1)</t>
  </si>
  <si>
    <t>UNIVERSAL CORPORATION LTD</t>
  </si>
  <si>
    <t>KENYA</t>
  </si>
  <si>
    <t>MA172</t>
  </si>
  <si>
    <t>Universal Corporation Ltd PO Box 1748, Club
Road, Plot No 13777 Kikuyu, 902 Kenya</t>
  </si>
  <si>
    <t>Amodiaquine (as Hydrochloride) + Pyrimethamine/Sulfadoxine</t>
  </si>
  <si>
    <t>MA169</t>
  </si>
  <si>
    <t xml:space="preserve">  3x10, 3x100</t>
  </si>
  <si>
    <t>MA166</t>
  </si>
  <si>
    <t>Universal Corporation Limited
Club Road, Plot No. 13777 P.O. Box 1748-
00902 Kikuyu</t>
  </si>
  <si>
    <t>3X10, 3X30, 3X50, 3X100 | GF (10x10; 3x1)</t>
  </si>
  <si>
    <t>MA163</t>
  </si>
  <si>
    <t>Source</t>
  </si>
  <si>
    <t>numid</t>
  </si>
  <si>
    <t>a3 (ODK)</t>
  </si>
  <si>
    <t>Dosage form</t>
  </si>
  <si>
    <t>productype</t>
  </si>
  <si>
    <t>amBrand (brand name/ nom commercial)</t>
  </si>
  <si>
    <t>aiGeneric_a (ODK)</t>
  </si>
  <si>
    <t>aiGeneric_a_lbl</t>
  </si>
  <si>
    <t>aiGeneric_b (ODK)</t>
  </si>
  <si>
    <t>aiGeneric_b_lbl</t>
  </si>
  <si>
    <t>aiGeneric_c (ODK)</t>
  </si>
  <si>
    <t>aiGeneric_c_lbl</t>
  </si>
  <si>
    <t>aiStrength_a_mg</t>
  </si>
  <si>
    <t>aiStrength_a_ml</t>
  </si>
  <si>
    <t>aiStrength_a_lbl</t>
  </si>
  <si>
    <t xml:space="preserve">repeat for b and c </t>
  </si>
  <si>
    <t>aiStrength_b_mg</t>
  </si>
  <si>
    <t>aiStrength_b_ml</t>
  </si>
  <si>
    <t>aiStrength_b_lbl</t>
  </si>
  <si>
    <t>aiStrength_c_mg</t>
  </si>
  <si>
    <t>aiStrength_c_ml</t>
  </si>
  <si>
    <t>aiStrength_c_lbl</t>
  </si>
  <si>
    <t xml:space="preserve">gname1 </t>
  </si>
  <si>
    <t>Benin2016</t>
  </si>
  <si>
    <t>Suspension</t>
  </si>
  <si>
    <t>2. NT</t>
  </si>
  <si>
    <t>AMODIAQUINE - EKLESIA</t>
  </si>
  <si>
    <t>EKLESIA COMPANY</t>
  </si>
  <si>
    <t>1. amodiaquine</t>
  </si>
  <si>
    <t>AMODIAQUINE - GEO MEDICORE</t>
  </si>
  <si>
    <t>GEO MEDICORE LIMITED</t>
  </si>
  <si>
    <t>AMODIAQUINE - NEW GLOBAL</t>
  </si>
  <si>
    <t>NEW GLOBAL PHARMACEUTICALS LTD</t>
  </si>
  <si>
    <t>ARH-L</t>
  </si>
  <si>
    <t>LINCOLN PHARMACEUTICALS LTD</t>
  </si>
  <si>
    <t>40. AL</t>
  </si>
  <si>
    <t>ARTEFAN</t>
  </si>
  <si>
    <t>Liquid injection</t>
  </si>
  <si>
    <t>ARTEM</t>
  </si>
  <si>
    <t>KUNMING PHARMACEUTICAL CORP</t>
  </si>
  <si>
    <t>31. artemether</t>
  </si>
  <si>
    <t>ARTEMAL</t>
  </si>
  <si>
    <t>MEPACO MEDIFOOD</t>
  </si>
  <si>
    <t>ARTEMETHER</t>
  </si>
  <si>
    <t>AFIRST LIFE SCIENCE PVT LTD</t>
  </si>
  <si>
    <t>ARTEMETHER - NORTH CHINA</t>
  </si>
  <si>
    <t>NORTH CHINA PHARMACEUTICAL GROUP CORPORATION</t>
  </si>
  <si>
    <t>ARTEMETHER - TONGMEI</t>
  </si>
  <si>
    <t>TONGMEI LABORATOIRE</t>
  </si>
  <si>
    <t>ARTEMETHER LUMEFANTRINE - MEDOPHERM</t>
  </si>
  <si>
    <t>MEDOPHERM PVT LTD</t>
  </si>
  <si>
    <t>ARTENAM</t>
  </si>
  <si>
    <t>ARENCO PHARMACEUTICAL</t>
  </si>
  <si>
    <t>ARTESIANE 20</t>
  </si>
  <si>
    <t>DAFRA PHARMA LTD</t>
  </si>
  <si>
    <t>ARTESIANE 80</t>
  </si>
  <si>
    <t>ARTIZ</t>
  </si>
  <si>
    <t>ALICE PHARMA PVT LTD</t>
  </si>
  <si>
    <t>ARTOME</t>
  </si>
  <si>
    <t>BIMALARIL 140</t>
  </si>
  <si>
    <t>MEDICAL PHARMACEUTIQUE</t>
  </si>
  <si>
    <t>BIMALARIL 280</t>
  </si>
  <si>
    <t>BIMALARIL 420</t>
  </si>
  <si>
    <t>CO-ARTESIANE 1260</t>
  </si>
  <si>
    <t>CO-ARTESIANE 2520</t>
  </si>
  <si>
    <t>COFANTRINE</t>
  </si>
  <si>
    <t>BLISS GVS PHARMA LTD</t>
  </si>
  <si>
    <t>FALCIART</t>
  </si>
  <si>
    <t>FIZA HEALTHCARE LTD</t>
  </si>
  <si>
    <t>FANETHA</t>
  </si>
  <si>
    <t>ALBEN HEALTHCARE LTD</t>
  </si>
  <si>
    <t>FANTEM</t>
  </si>
  <si>
    <t>MEDINOMICS HEALTHCARE PVT LTD</t>
  </si>
  <si>
    <t>GVITHER FORTE</t>
  </si>
  <si>
    <t>KINGLION</t>
  </si>
  <si>
    <t>L-ARTEM</t>
  </si>
  <si>
    <t>SHALINA LABORATORIES PVT LTD</t>
  </si>
  <si>
    <t>LARITHER 80</t>
  </si>
  <si>
    <t>LUFANTER</t>
  </si>
  <si>
    <t>IMEX HEALTH</t>
  </si>
  <si>
    <t>NEMETHER</t>
  </si>
  <si>
    <t>HUBEI TIANYAO PHARMACEUTICAL CO LTD</t>
  </si>
  <si>
    <t>PALMATHER</t>
  </si>
  <si>
    <t>MSR LABS</t>
  </si>
  <si>
    <t>PARALINE</t>
  </si>
  <si>
    <t>SHANGHAI HARVEST PHARMACEUTICAL CO. LTD</t>
  </si>
  <si>
    <t>PHILOMETHER</t>
  </si>
  <si>
    <t>GREENFIELD PHARMACEUTICAL (JIANGSU) CO LTD</t>
  </si>
  <si>
    <t>R-LUME</t>
  </si>
  <si>
    <t>IMPACT HEALTHCARE PVT LTD</t>
  </si>
  <si>
    <t>Powder injection</t>
  </si>
  <si>
    <t>ARTESUN 120</t>
  </si>
  <si>
    <t>GUILIN PHARMACEUTICAL CO. LTD</t>
  </si>
  <si>
    <t>32. artesunate</t>
  </si>
  <si>
    <t>ARTESUN 30</t>
  </si>
  <si>
    <t>ARTESUN 60</t>
  </si>
  <si>
    <t>MALAVAN</t>
  </si>
  <si>
    <t>MD ARTESUNATE PLUS</t>
  </si>
  <si>
    <t>O'NELL PHARMA AND HEALTHCARE LTD</t>
  </si>
  <si>
    <t>44. ASAQ</t>
  </si>
  <si>
    <t>Syrup</t>
  </si>
  <si>
    <t>AGE-QUINE</t>
  </si>
  <si>
    <t>choloroquine</t>
  </si>
  <si>
    <t>NEW AGE PHARM LTD</t>
  </si>
  <si>
    <t>4. chloroquine</t>
  </si>
  <si>
    <t>ARINQUINE</t>
  </si>
  <si>
    <t>KWARA CHEMICAL CO. LTD.</t>
  </si>
  <si>
    <t>BIORAQUINE</t>
  </si>
  <si>
    <t>BIORAJ PHARMACEUTICALS LTD</t>
  </si>
  <si>
    <t>CHLOROQUINE - DAILY</t>
  </si>
  <si>
    <t>DAILY-NEED INDUSTRIES LTD</t>
  </si>
  <si>
    <t>CHLOROQUINE - PEACE</t>
  </si>
  <si>
    <t>PEACE STANDARD PHARM IND LIMITED</t>
  </si>
  <si>
    <t>CHLOROQUINE - RICO</t>
  </si>
  <si>
    <t>RICO PHARMACEUTICAL IND. LTD</t>
  </si>
  <si>
    <t>FECCOX</t>
  </si>
  <si>
    <t>FECCOX PHARMA LIMITED</t>
  </si>
  <si>
    <t>GOCEE</t>
  </si>
  <si>
    <t>SHANDONG XIER KANGTAI PHARMACEUTICAL CO LTD</t>
  </si>
  <si>
    <t>LABQUINE</t>
  </si>
  <si>
    <t>LABORATE PHARMACEUTICAL</t>
  </si>
  <si>
    <t>MATTHEWQUINE</t>
  </si>
  <si>
    <t>MAXIQUINE</t>
  </si>
  <si>
    <t>VITABIOTICS LTD</t>
  </si>
  <si>
    <t>PALQUINE</t>
  </si>
  <si>
    <t>PAL PHARMACEUTICAL IND. LTD</t>
  </si>
  <si>
    <t>SHEKQUINE</t>
  </si>
  <si>
    <t>MARLEYSHREE PHARMACEUTICAL (NIG). LTD</t>
  </si>
  <si>
    <t>SIVOQUINE</t>
  </si>
  <si>
    <t>JINLING PHARMACEUTICAL</t>
  </si>
  <si>
    <t>VAMIREX</t>
  </si>
  <si>
    <t>TUYIL PHARM IND. LIMITED</t>
  </si>
  <si>
    <t>VINAQUINE</t>
  </si>
  <si>
    <t>MAY AND BAKER NIGERIA PLC</t>
  </si>
  <si>
    <t>HAMEXQUINE</t>
  </si>
  <si>
    <t>quinine</t>
  </si>
  <si>
    <t>NINGBO DAHONGYING PHARMACEUTICAL CO. LTD</t>
  </si>
  <si>
    <t>19. quinine</t>
  </si>
  <si>
    <t>LIZOQUIN</t>
  </si>
  <si>
    <t>WUHAN GRAND PHARMACEUTICAL GROUP CO. LTD</t>
  </si>
  <si>
    <t>NELBPHARQUINE</t>
  </si>
  <si>
    <t>PALUJECT</t>
  </si>
  <si>
    <t>SANOFI AVENTIS</t>
  </si>
  <si>
    <t>PECGINA</t>
  </si>
  <si>
    <t>JIANGSU RUINIAN QIANJIN PHARMACEUTICAL CO. LTD</t>
  </si>
  <si>
    <t>PENINE</t>
  </si>
  <si>
    <t>PHILCO-QUININE</t>
  </si>
  <si>
    <t>PHILCO PHARMA</t>
  </si>
  <si>
    <t>PHILOQUIN</t>
  </si>
  <si>
    <t>QUIDOX</t>
  </si>
  <si>
    <t>QUINIDO</t>
  </si>
  <si>
    <t>KILITCH DRUGS LTD</t>
  </si>
  <si>
    <t>QUINIMAX</t>
  </si>
  <si>
    <t>18. quinimax</t>
  </si>
  <si>
    <t>QUININE - CPA</t>
  </si>
  <si>
    <t>COMPAGNIE PHARMACEUTIQUE AFRICAINE</t>
  </si>
  <si>
    <t>QUININE - WUHAN</t>
  </si>
  <si>
    <t>QUININE - XINGHUA</t>
  </si>
  <si>
    <t>XINGHUA PHARM</t>
  </si>
  <si>
    <t>QUININE RESORCINE</t>
  </si>
  <si>
    <t>RINDOQUINE</t>
  </si>
  <si>
    <t>SALO QUININE</t>
  </si>
  <si>
    <t>SALOM PHARMACY LIMITED</t>
  </si>
  <si>
    <t>ABRP2023</t>
  </si>
  <si>
    <t>ACTHER</t>
  </si>
  <si>
    <t xml:space="preserve">NIXI LABORATORIES PVT. LTD. </t>
  </si>
  <si>
    <t>ACURE 20/120</t>
  </si>
  <si>
    <t>HUAZHONG PHARMACEUTICAL CO., LTD</t>
  </si>
  <si>
    <t>ACURE 40/240</t>
  </si>
  <si>
    <t>HUAZHONG PHARMACEUTICAL CO.</t>
  </si>
  <si>
    <t>ACURE 60/360</t>
  </si>
  <si>
    <t>ARMETHAR</t>
  </si>
  <si>
    <t xml:space="preserve">CIRON DRUGS &amp; PHARMACEUTICALS PVT. LTD. </t>
  </si>
  <si>
    <t>Solution injectable</t>
  </si>
  <si>
    <t>ARTEJECT 80</t>
  </si>
  <si>
    <t>LABORATE PHARMACEUTICAL INDIA</t>
  </si>
  <si>
    <t>ARTEMETHER TM</t>
  </si>
  <si>
    <t xml:space="preserve">TONGMEI </t>
  </si>
  <si>
    <t>ARTESIANE</t>
  </si>
  <si>
    <t>DAFRA PHARMA GMBH</t>
  </si>
  <si>
    <t>ARTESIANE PEDIATRIQUE</t>
  </si>
  <si>
    <t>ARTHEMETER UBIGEN</t>
  </si>
  <si>
    <t>KUNMING PHARMACEUTICAL CORP.</t>
  </si>
  <si>
    <t>ARTHEPA-I</t>
  </si>
  <si>
    <t>UNIJULES LIFE SCIENCES LTD</t>
  </si>
  <si>
    <t>ARTILEX</t>
  </si>
  <si>
    <t>NIYA HEALTHCARE PVT. LTD.</t>
  </si>
  <si>
    <t>ALICE PHARMA PVT. LTD.</t>
  </si>
  <si>
    <t>ARTOME TM</t>
  </si>
  <si>
    <t>TONGMEI</t>
  </si>
  <si>
    <t>ARTRIM</t>
  </si>
  <si>
    <t>LITAKA PHARMACEUTICALS. LTD</t>
  </si>
  <si>
    <t>BIMALARIL ADOLESCENT</t>
  </si>
  <si>
    <t>MEDICALE PHARMACEUTIQUE</t>
  </si>
  <si>
    <t>BIMALARIL ENFANT</t>
  </si>
  <si>
    <t>BIMALARIL NOURRISON</t>
  </si>
  <si>
    <t>CO-ARTESIANE</t>
  </si>
  <si>
    <t>S KANT HEALTHCARE LTD.</t>
  </si>
  <si>
    <t>Poudre pour Suspension</t>
  </si>
  <si>
    <t>FIZA HEALTHCARE PVT. LTD.</t>
  </si>
  <si>
    <t>KONATRIN 20-120</t>
  </si>
  <si>
    <t>ASTAMED HEALTHCARE (I) PVT. LTD.</t>
  </si>
  <si>
    <t>NA</t>
  </si>
  <si>
    <t>LARITHER-40</t>
  </si>
  <si>
    <t>IPCA LABORATORIES LTD.</t>
  </si>
  <si>
    <t>LARITHER-80</t>
  </si>
  <si>
    <t>LUFAMET</t>
  </si>
  <si>
    <t>INTERMED</t>
  </si>
  <si>
    <t>BLISS GVS PHARMA LTD.</t>
  </si>
  <si>
    <t>Suspension (powder)</t>
  </si>
  <si>
    <t>LUMITER</t>
  </si>
  <si>
    <t>MACLEODS PHARMACEUTICALS LTD.</t>
  </si>
  <si>
    <t>IMPACT HEALTHCARE PVT. LTD.</t>
  </si>
  <si>
    <t>SHAL'ARTEM</t>
  </si>
  <si>
    <t xml:space="preserve">SHALINA LABORATOIRES PVT. LTD. </t>
  </si>
  <si>
    <t>Powder</t>
  </si>
  <si>
    <t>VALTRAMED ANNUA</t>
  </si>
  <si>
    <t>Artemisinine</t>
  </si>
  <si>
    <t>PHARMA LAB</t>
  </si>
  <si>
    <t>AQUANATE 120</t>
  </si>
  <si>
    <t>RENA EXPORT PVT. LTD.</t>
  </si>
  <si>
    <t>AQUANATE 30</t>
  </si>
  <si>
    <t>ARTEGEN</t>
  </si>
  <si>
    <t>GENERIC HEALTHCARE PVT. LTD.</t>
  </si>
  <si>
    <t>GUILIN PHARMACEUTICAL CO., LTD.</t>
  </si>
  <si>
    <t xml:space="preserve">GUILIN PHARMACEUTICAL CO., LTD. </t>
  </si>
  <si>
    <t>Powder injection with 2 diluants</t>
  </si>
  <si>
    <t>ARTESUNATE INJECTION 60MG</t>
  </si>
  <si>
    <t>M/S NITIN LIFESCIENCES LIMITED</t>
  </si>
  <si>
    <t>ASMONATE-120</t>
  </si>
  <si>
    <t>ASMOH LABORATORIES LTD</t>
  </si>
  <si>
    <t>ASMONATE-60</t>
  </si>
  <si>
    <t>ASMOH LABORATORIES LIMITED</t>
  </si>
  <si>
    <t>AZUNATE</t>
  </si>
  <si>
    <t>KV SUN 60</t>
  </si>
  <si>
    <t>PHARMAX INDIA PVT.LTD</t>
  </si>
  <si>
    <t>MALALYZ 60</t>
  </si>
  <si>
    <t>ANG LIFE SCIENCES INDIA LTD.</t>
  </si>
  <si>
    <t>RAPINATE 120</t>
  </si>
  <si>
    <t>M/S.BLISS INDASI LIFESCIENCE PRIVATE</t>
  </si>
  <si>
    <t>RAPINATE-60</t>
  </si>
  <si>
    <t>RECNATE-60</t>
  </si>
  <si>
    <t>COOPER PHARMA LIMITED</t>
  </si>
  <si>
    <t>RENOMETHER 80</t>
  </si>
  <si>
    <t>REANNON PHARMACEUTICALS</t>
  </si>
  <si>
    <t>SUNAVEINE</t>
  </si>
  <si>
    <t>EAST AFRICAN (INDIA) OVERSEAS</t>
  </si>
  <si>
    <t>VINCCATE</t>
  </si>
  <si>
    <t>Powder and solvent for injectable solution</t>
  </si>
  <si>
    <t>VINCCATE-120</t>
  </si>
  <si>
    <t xml:space="preserve">COOPER PHARMA LIMITED. </t>
  </si>
  <si>
    <t>DICHLORHYDRATE DE QUININE</t>
  </si>
  <si>
    <t>ANHUI CHENGSHI PHARMACEUTIC CO., LTD</t>
  </si>
  <si>
    <t>1. TSG</t>
  </si>
  <si>
    <t>ALAXIN PLUS</t>
  </si>
  <si>
    <t>58. DHA-SP</t>
  </si>
  <si>
    <t>AMALAR</t>
  </si>
  <si>
    <t>21. SP</t>
  </si>
  <si>
    <t>Suppository</t>
  </si>
  <si>
    <t>AMETHERDENK</t>
  </si>
  <si>
    <t>DENK PHARMA</t>
  </si>
  <si>
    <t>AMODIAQUINE</t>
  </si>
  <si>
    <t>ANTIDAR</t>
  </si>
  <si>
    <t>NUEL PHARMACEUTICAL LTD</t>
  </si>
  <si>
    <t>APMOD 25/67.5</t>
  </si>
  <si>
    <t>APMOD 50/135</t>
  </si>
  <si>
    <t>ARCO</t>
  </si>
  <si>
    <t>artemisinin</t>
  </si>
  <si>
    <t>naphthoquine</t>
  </si>
  <si>
    <t>41. artemisinin-naphthoquine</t>
  </si>
  <si>
    <t>ARMETRINE</t>
  </si>
  <si>
    <t>TABLETS LIMITED</t>
  </si>
  <si>
    <t>ARSIQUINOFORME</t>
  </si>
  <si>
    <t>ARTECOM</t>
  </si>
  <si>
    <t>TONGHE PHARMACEUTICAL CO LTD</t>
  </si>
  <si>
    <t>55. DHA-PPQ</t>
  </si>
  <si>
    <t>ARTEDAR ADULT</t>
  </si>
  <si>
    <t>PLETHICO PHARMA LTD</t>
  </si>
  <si>
    <t>50. AS-SP</t>
  </si>
  <si>
    <t>ARTEDIAM</t>
  </si>
  <si>
    <t>ODYPHARM LTD</t>
  </si>
  <si>
    <t>ARTEFAN 20/120 15-25 KG</t>
  </si>
  <si>
    <t>ARTEFAN 20/120 35+ KG</t>
  </si>
  <si>
    <t>ARTEFAN 20/120 5-15 KG</t>
  </si>
  <si>
    <t>ARTEFAN 40/240 15-25 KG</t>
  </si>
  <si>
    <t>ARTEFAN 40/240 25-35 KG</t>
  </si>
  <si>
    <t>ARTEFAN 60/360 25-35 KG</t>
  </si>
  <si>
    <t>ARTEFAN 80/480 35+ KG</t>
  </si>
  <si>
    <t>ARTEMEF 5-15 KG</t>
  </si>
  <si>
    <t>CIPLA PHARMA LTD</t>
  </si>
  <si>
    <t>ARTEMETHER LUMEFANTRINE</t>
  </si>
  <si>
    <t>ARTEMETHER LUMEFANTRINE - IPCA</t>
  </si>
  <si>
    <t>ARTEMETHER LUMEFANTRINE - TONGMEI</t>
  </si>
  <si>
    <t>ARTEQUICK</t>
  </si>
  <si>
    <t>ARTEPHARM CO. LTD</t>
  </si>
  <si>
    <t>42. artemisinin-PPQ</t>
  </si>
  <si>
    <t>ARTEQUIN 300/375</t>
  </si>
  <si>
    <t>melfloquine</t>
  </si>
  <si>
    <t>MEPHA</t>
  </si>
  <si>
    <t>47. ASMQ</t>
  </si>
  <si>
    <t>ARTEQUIN 50/125</t>
  </si>
  <si>
    <t>ARTEQUIN 600/750</t>
  </si>
  <si>
    <t>ARTESIANE 40</t>
  </si>
  <si>
    <t>ARTESUNATE AMODIAQUINE - CIPLA</t>
  </si>
  <si>
    <t>ARTESUNATE AMODIAQUINE - IPCA</t>
  </si>
  <si>
    <t>ARTIZ 40/240</t>
  </si>
  <si>
    <t>ARTIZ 80/480</t>
  </si>
  <si>
    <t>ARTLUF-FORTE</t>
  </si>
  <si>
    <t>GENERIC HEALTHCARE PVT LTD</t>
  </si>
  <si>
    <t>ARTRIN</t>
  </si>
  <si>
    <t>MEDREICH PLC</t>
  </si>
  <si>
    <t>ARTRINE 20/120</t>
  </si>
  <si>
    <t>LIC PHARMA</t>
  </si>
  <si>
    <t>ARTRINE 40/240</t>
  </si>
  <si>
    <t>ARTRINE 80/480</t>
  </si>
  <si>
    <t>ASAQ DENK</t>
  </si>
  <si>
    <t>ASAQ WINTHROP ADULT 14+ YEARS</t>
  </si>
  <si>
    <t>ASAQ WINTHROP CHILD 6-13 YEARS</t>
  </si>
  <si>
    <t>ASAQ WINTHROP INFANT 2-11 MONTHS</t>
  </si>
  <si>
    <t>ASAQ WINTHROP TODDLER 1-5 YEARS</t>
  </si>
  <si>
    <t>ASUNATE DENK 100</t>
  </si>
  <si>
    <t>sulfamethoxypyrazine</t>
  </si>
  <si>
    <t>ASUNATE DENK 200</t>
  </si>
  <si>
    <t>BIMALARIL 20/120</t>
  </si>
  <si>
    <t>BIMALARIL 40/240</t>
  </si>
  <si>
    <t>BIMALARIL 60/360</t>
  </si>
  <si>
    <t>BIMALARIL 80/480</t>
  </si>
  <si>
    <t>CACHART</t>
  </si>
  <si>
    <t>CACHET PHARMACEUTICALS PVT LTD</t>
  </si>
  <si>
    <t>CETHER-L</t>
  </si>
  <si>
    <t>NEW CESAMEX</t>
  </si>
  <si>
    <t>CHINTER</t>
  </si>
  <si>
    <t>ALKEM LABORATORIES LTD</t>
  </si>
  <si>
    <t>CHLOROQUINE</t>
  </si>
  <si>
    <t>CHLOROQUINE - OSMED</t>
  </si>
  <si>
    <t>OSMED FORMULATIONS PVT LTD</t>
  </si>
  <si>
    <t>CHLOROQUINE - SAVORITE</t>
  </si>
  <si>
    <t>SAVORITE PHARMACEUTICALS</t>
  </si>
  <si>
    <t>CHLOROQUINE - SPRUKFIELD</t>
  </si>
  <si>
    <t>SPRUKFIELD (UK)</t>
  </si>
  <si>
    <t>CHLOROQUINE - SYNCOM</t>
  </si>
  <si>
    <t>SYNCOM FORMULATION LTD</t>
  </si>
  <si>
    <t>CO-ARINATE ADULT</t>
  </si>
  <si>
    <t>CO-ARINATE JUNIOR</t>
  </si>
  <si>
    <t>COARTEM 20/120 15-25 KG</t>
  </si>
  <si>
    <t>NOVARTIS PHARMA AG</t>
  </si>
  <si>
    <t>COARTEM 20/120 25-35 KG</t>
  </si>
  <si>
    <t>COARTEM 20/120 35+ KG</t>
  </si>
  <si>
    <t>COARTEM 20/120 5-15 KG</t>
  </si>
  <si>
    <t>COARTEM 80/480 35+ KG</t>
  </si>
  <si>
    <t>COFANTRINE 20/120 ADULT</t>
  </si>
  <si>
    <t>COFANTRINE 80/480 ADULT</t>
  </si>
  <si>
    <t>COFANTRINE INFANT &amp; CHILD</t>
  </si>
  <si>
    <t>COLART</t>
  </si>
  <si>
    <t>GLAXOSMITHKLINE GROUP OF COMPANIES</t>
  </si>
  <si>
    <t>COMBIART 20/120 15-25 KG</t>
  </si>
  <si>
    <t>STRIDES ARCO LABS</t>
  </si>
  <si>
    <t>COMBIART 20/120 25-35 KG</t>
  </si>
  <si>
    <t>COMBIART 20/120 35+ KG</t>
  </si>
  <si>
    <t>COMBIART 20/120 5-15 KG</t>
  </si>
  <si>
    <t>COMBIART 80/480 35+ KG</t>
  </si>
  <si>
    <t>COMBIMAL</t>
  </si>
  <si>
    <t>COMBISUNATE 15-25 KG</t>
  </si>
  <si>
    <t>COMBISUNATE 25-35 KG</t>
  </si>
  <si>
    <t>COMBISUNATE 35+ KG</t>
  </si>
  <si>
    <t>COMBISUNATE 5-15 KG</t>
  </si>
  <si>
    <t>CREAMETHERINE</t>
  </si>
  <si>
    <t>LABORATOIRE BAILLY-CREAT</t>
  </si>
  <si>
    <t>D-ARTEPP</t>
  </si>
  <si>
    <t>DARTE-Q ADULT</t>
  </si>
  <si>
    <t>GOSUN PHARMA CORP</t>
  </si>
  <si>
    <t>DARTE-Q PEDIATRIC</t>
  </si>
  <si>
    <t>DUO-COTECXIN</t>
  </si>
  <si>
    <t>BEIJING HOLLEY-COTEC PHARMACEUTICAL LTD</t>
  </si>
  <si>
    <t>ELANQUINE</t>
  </si>
  <si>
    <t>JOPAN PHARMCEUTICALS LTD</t>
  </si>
  <si>
    <t>FALCIART 20/120</t>
  </si>
  <si>
    <t>FALCIART 80/480</t>
  </si>
  <si>
    <t>FANCIMEX</t>
  </si>
  <si>
    <t>FANSIDAR</t>
  </si>
  <si>
    <t>PHARMAQUICK</t>
  </si>
  <si>
    <t>FANTEM 20/120 15-25 KG</t>
  </si>
  <si>
    <t xml:space="preserve">MEDINOMICS HEALTHCARE PVT LTD </t>
  </si>
  <si>
    <t>FANTEM 20/120 35+ KG</t>
  </si>
  <si>
    <t>FANTEM 80/480 35+ KG</t>
  </si>
  <si>
    <t>FLAVOQUINE</t>
  </si>
  <si>
    <t>FRALOMIN</t>
  </si>
  <si>
    <t>GOMAXINE</t>
  </si>
  <si>
    <t>RICHY GOLD INTERNATIONAL LTD</t>
  </si>
  <si>
    <t>LARIDOX</t>
  </si>
  <si>
    <t>LARITEM 20/120</t>
  </si>
  <si>
    <t>LARITEM 40/240</t>
  </si>
  <si>
    <t>LARITEM 80/480</t>
  </si>
  <si>
    <t>LIFLOXIN</t>
  </si>
  <si>
    <t>LONART 80/480</t>
  </si>
  <si>
    <t>LUFANTER 20/120 INFANT &amp; CHILD</t>
  </si>
  <si>
    <t>LUFANTER 40/240 ADULT</t>
  </si>
  <si>
    <t>LUFANTER 80/480 ADULT</t>
  </si>
  <si>
    <t>LUFEMAX 20/120</t>
  </si>
  <si>
    <t>DEVELOPMENT PHARMACEUTIQUE AFRICAIN</t>
  </si>
  <si>
    <t>LUFEMAX 80/480</t>
  </si>
  <si>
    <t>LUFENART 20/120</t>
  </si>
  <si>
    <t>UMEDICA LABORATOIRES PVT LTD</t>
  </si>
  <si>
    <t>LUFENART 40/240</t>
  </si>
  <si>
    <t>LUFENART 80/480</t>
  </si>
  <si>
    <t>LUMA</t>
  </si>
  <si>
    <t>JENBURKT PHARMACEUTICALS LTD</t>
  </si>
  <si>
    <t>LUMART</t>
  </si>
  <si>
    <t>NYD PHARMA</t>
  </si>
  <si>
    <t>LUMARTEM 15-25 KG</t>
  </si>
  <si>
    <t>LUMARTEM 25-35 KG</t>
  </si>
  <si>
    <t>LUMARTEM 35+ KG</t>
  </si>
  <si>
    <t>LUMARTEM 5-15 KG</t>
  </si>
  <si>
    <t>LUMATE</t>
  </si>
  <si>
    <t>MACLEODS</t>
  </si>
  <si>
    <t>LUMITER 20/120 ADULT</t>
  </si>
  <si>
    <t>LUMITER 20MG/120MG</t>
  </si>
  <si>
    <t>LUMITER 80/480 ADULT</t>
  </si>
  <si>
    <t>LUMTER DS 80/480MG</t>
  </si>
  <si>
    <t>MACALUM 35+ KG</t>
  </si>
  <si>
    <t>MACALUM 5-15KG</t>
  </si>
  <si>
    <t>MADAR</t>
  </si>
  <si>
    <t>CAPLIN POINT LABORATORIES</t>
  </si>
  <si>
    <t>MALABASE</t>
  </si>
  <si>
    <t>BASE PHARMACY CO LTD</t>
  </si>
  <si>
    <t>MALACUR</t>
  </si>
  <si>
    <t>LABORATORIOS SALVAT SA</t>
  </si>
  <si>
    <t>MALAMOX</t>
  </si>
  <si>
    <t>MAXHEAL PHARMACEUTICALS</t>
  </si>
  <si>
    <t>MALAR</t>
  </si>
  <si>
    <t>MALAR 2</t>
  </si>
  <si>
    <t>ERNEST CHEMISTS LIMITED</t>
  </si>
  <si>
    <t>MALAREICH</t>
  </si>
  <si>
    <t>MALARONE</t>
  </si>
  <si>
    <t>atovaquone</t>
  </si>
  <si>
    <t>proguanil</t>
  </si>
  <si>
    <t>3. atovaquone-proguanil</t>
  </si>
  <si>
    <t>MALOXINE</t>
  </si>
  <si>
    <t>EXPHAR SA</t>
  </si>
  <si>
    <t>MAXIDAR</t>
  </si>
  <si>
    <t>MELOFAN</t>
  </si>
  <si>
    <t>MEPHAQUIN</t>
  </si>
  <si>
    <t>11. mefloquine</t>
  </si>
  <si>
    <t>NIRUPQUIN</t>
  </si>
  <si>
    <t>NOVAQUIN</t>
  </si>
  <si>
    <t>P-ALAXIN</t>
  </si>
  <si>
    <t>PHILCO-MAX</t>
  </si>
  <si>
    <t>PLAQUENIL</t>
  </si>
  <si>
    <t>hydroxychloroquine</t>
  </si>
  <si>
    <t>10. hydroxychloroquine sulfate</t>
  </si>
  <si>
    <t>PLASMOTRIM 200</t>
  </si>
  <si>
    <t>PLASMOTRIM 50</t>
  </si>
  <si>
    <t>POMEX 20/120</t>
  </si>
  <si>
    <t>SAGA LABORATORIES</t>
  </si>
  <si>
    <t>POMEX 40/240</t>
  </si>
  <si>
    <t>QUIMAL</t>
  </si>
  <si>
    <t>DANA PHARMACEUTICALS LIMITED</t>
  </si>
  <si>
    <t>QUINICREAT</t>
  </si>
  <si>
    <t>QUINIMAX 125</t>
  </si>
  <si>
    <t>QUINIMAX 500</t>
  </si>
  <si>
    <t>QUININE</t>
  </si>
  <si>
    <t>QUININE - ALICE</t>
  </si>
  <si>
    <t>QUININE - BAILLY</t>
  </si>
  <si>
    <t>QUININE - KWALITY</t>
  </si>
  <si>
    <t>KWALITY PHARMACEUTICALS (P) LTD</t>
  </si>
  <si>
    <t>QUININE - PHARMAQUICK</t>
  </si>
  <si>
    <t>QUININE - SPRUKFIELD</t>
  </si>
  <si>
    <t>QUINNOX</t>
  </si>
  <si>
    <t>CLARION MEDICALS LTD</t>
  </si>
  <si>
    <t>R-LUME 40/240</t>
  </si>
  <si>
    <t>R-LUME 80/480</t>
  </si>
  <si>
    <t>RIDMAL</t>
  </si>
  <si>
    <t>SHARLUM 80/480</t>
  </si>
  <si>
    <t>SHARON BIG-MEDICINE LTD</t>
  </si>
  <si>
    <t>SHARLUN 20/120</t>
  </si>
  <si>
    <t>SULFADOX</t>
  </si>
  <si>
    <t>RONAK EXIM PVT LTD</t>
  </si>
  <si>
    <t>SULFADOXINE PYRIMETHAMINE</t>
  </si>
  <si>
    <t>SULFADOXINE PYRIMETHAMINE - MICRO LABS</t>
  </si>
  <si>
    <t>SULFADOXINE PYRIMETHAMINE - PHARMAQUICK</t>
  </si>
  <si>
    <t>SURQUINA</t>
  </si>
  <si>
    <t>LABORATOIRE INNOTECH INTERNATIONAL</t>
  </si>
  <si>
    <t>TARLUM</t>
  </si>
  <si>
    <t>TASLY PHAR INTERNATIONAL CO LTD</t>
  </si>
  <si>
    <t>TONLUM 20/120 35+ KG</t>
  </si>
  <si>
    <t>ACTON PHARMA PVT LTD</t>
  </si>
  <si>
    <t>TONLUM 20/120 5-15 KG</t>
  </si>
  <si>
    <t>TONLUM 80/480</t>
  </si>
  <si>
    <t>USIDAR</t>
  </si>
  <si>
    <t>ADLER PRODUCTS LTD</t>
  </si>
  <si>
    <t>WINMALAR</t>
  </si>
  <si>
    <t>ME CURE INDUSTRIES LTD</t>
  </si>
  <si>
    <t xml:space="preserve">JIANGSU RUINIAN QIANJIN Pharmaceutical CO., LTD </t>
  </si>
  <si>
    <t>ALFACURE 20/120</t>
  </si>
  <si>
    <t>MCW HEALTHCARE PVT. LTD.</t>
  </si>
  <si>
    <t>ALFACURE 40/240</t>
  </si>
  <si>
    <t xml:space="preserve">MCW HEALTHCARE PVT. LTD. </t>
  </si>
  <si>
    <t>ALFACURE 80/480</t>
  </si>
  <si>
    <t>ALM DS</t>
  </si>
  <si>
    <t>APMOD 100/270</t>
  </si>
  <si>
    <t>AJANTA PHARMA LTD.</t>
  </si>
  <si>
    <t>APMOD 25/67,5</t>
  </si>
  <si>
    <t>TABLETS (INDIA) LIMITED</t>
  </si>
  <si>
    <t>ARTEBOON-L</t>
  </si>
  <si>
    <t xml:space="preserve">NuCare Laboratories </t>
  </si>
  <si>
    <t>ARTEBOON-L 20/120</t>
  </si>
  <si>
    <t xml:space="preserve">CAREWELL HEALTHCARE </t>
  </si>
  <si>
    <t>ARTECAP</t>
  </si>
  <si>
    <t xml:space="preserve">STRIDES SHASUN LIMITED </t>
  </si>
  <si>
    <t>ARTEFAN 20/120</t>
  </si>
  <si>
    <t>ARTEFAN 40/240</t>
  </si>
  <si>
    <t>ARTEFAN 60/360</t>
  </si>
  <si>
    <t>ARTEFAN 80/480</t>
  </si>
  <si>
    <t>ARTEFAN DISPERSIBLE 20/120</t>
  </si>
  <si>
    <t>ARTEFAN DT 40/240</t>
  </si>
  <si>
    <t>ARTELCARE</t>
  </si>
  <si>
    <t xml:space="preserve">SHANDONG SHENGLU PHARMACEUTICAL CO., LTD.  </t>
  </si>
  <si>
    <t>ARTEMETHER + LUMEFANTRINE TM</t>
  </si>
  <si>
    <t>ARTESIANE SUPPOGEL</t>
  </si>
  <si>
    <t>ARTESUNATE/AMODIAQUINE</t>
  </si>
  <si>
    <t>ARTESUPPO-100</t>
  </si>
  <si>
    <t xml:space="preserve">REYOUNG PHARMACEUTICAL CO. LTD. </t>
  </si>
  <si>
    <t>ARTESUPPO-200</t>
  </si>
  <si>
    <t>ARTESUPPO-50</t>
  </si>
  <si>
    <t>ARTEVINCC 20/120</t>
  </si>
  <si>
    <t>TRUGEN PHARMACEUTICALS PVT. LTD.</t>
  </si>
  <si>
    <t>ARTEVINCC 40/240</t>
  </si>
  <si>
    <t>ARTEVINCC 80/480</t>
  </si>
  <si>
    <t>ARTILEX 80/480</t>
  </si>
  <si>
    <t>ARTISON</t>
  </si>
  <si>
    <t>ARTISON 40/240</t>
  </si>
  <si>
    <t>ARTISON 80/480</t>
  </si>
  <si>
    <t>ARTIZ FORTE</t>
  </si>
  <si>
    <t>ARTLIFE-200 KIT</t>
  </si>
  <si>
    <t>MARS REMEDIES PVT LTD</t>
  </si>
  <si>
    <t>ARTRIM-GH 40/240</t>
  </si>
  <si>
    <t>ASU-DENK FIXED DOSE</t>
  </si>
  <si>
    <t xml:space="preserve">ARTESAN PHARMA </t>
  </si>
  <si>
    <t>BIMALARIL</t>
  </si>
  <si>
    <t>Softgel capsule</t>
  </si>
  <si>
    <t>BIMALARIL PLUS</t>
  </si>
  <si>
    <t>ZHEJIANG ANBAO PHARMACEUTICALS CO., LTD.</t>
  </si>
  <si>
    <t>BIMALARIL-20/120</t>
  </si>
  <si>
    <t>BENGBU BBCA TUSHAN PHARMACEUTICAL Co.,Ltd</t>
  </si>
  <si>
    <t>BIMALARIL-40/240</t>
  </si>
  <si>
    <t>BIMALARIL-60/360</t>
  </si>
  <si>
    <t>COARTEM</t>
  </si>
  <si>
    <t xml:space="preserve">NOVARTIS PHARMACEUTICALS CORPORATION </t>
  </si>
  <si>
    <t>IMEX-PHARMA</t>
  </si>
  <si>
    <t>COFANTRINE ADULTES</t>
  </si>
  <si>
    <t>COMBIART</t>
  </si>
  <si>
    <t>STRIDES PHARMA SCIENCE LTD.</t>
  </si>
  <si>
    <t>STRIDES SHASUN LTD.</t>
  </si>
  <si>
    <t>COMBIART 80/480</t>
  </si>
  <si>
    <t>DANMETHER</t>
  </si>
  <si>
    <t xml:space="preserve">DANADAMS PHARMACEUTICALS INDUSTRY LTD </t>
  </si>
  <si>
    <t>DUOTEM</t>
  </si>
  <si>
    <t>FALCIAR DT</t>
  </si>
  <si>
    <t>FALSUNATE</t>
  </si>
  <si>
    <t>SWISS PARENTERALS LTD.</t>
  </si>
  <si>
    <t>FANTEM FORTE</t>
  </si>
  <si>
    <t>OCEAN HEALTHCARE PVT.LTD</t>
  </si>
  <si>
    <t>Coated tablet</t>
  </si>
  <si>
    <t>G-COSPE</t>
  </si>
  <si>
    <t>GEN-M</t>
  </si>
  <si>
    <t xml:space="preserve">GENIX PHARMA (PVT) LIMITED </t>
  </si>
  <si>
    <t>GEN-M 20/120</t>
  </si>
  <si>
    <t>GEN-M 40/240</t>
  </si>
  <si>
    <t>GLUMAC</t>
  </si>
  <si>
    <t>KONATRIN 80-480</t>
  </si>
  <si>
    <t>LA FORTE</t>
  </si>
  <si>
    <t xml:space="preserve">GLOBAL PHARMA HEALTHCARE PVT. LTD. </t>
  </si>
  <si>
    <t>LA-DS</t>
  </si>
  <si>
    <t>LARITEM</t>
  </si>
  <si>
    <t>LUFAMET FORTE</t>
  </si>
  <si>
    <t>LUFAMET-DS</t>
  </si>
  <si>
    <t>LUFANTER PÉDIATRIQUE</t>
  </si>
  <si>
    <t>LUFART DISPERSIBLE</t>
  </si>
  <si>
    <t>ENTRANCE</t>
  </si>
  <si>
    <t>LUFENART</t>
  </si>
  <si>
    <t xml:space="preserve">UMEDICA LABORATORIES PVT. LTD. </t>
  </si>
  <si>
    <t>LUFENART FORTE</t>
  </si>
  <si>
    <t>UMEDICA LABORATORIES PVT. LTD.</t>
  </si>
  <si>
    <t>LUMA - DS</t>
  </si>
  <si>
    <t>LUMATE FORTE</t>
  </si>
  <si>
    <t>AMBIX HEALTHCARE LLP</t>
  </si>
  <si>
    <t>LUMATE PLUS</t>
  </si>
  <si>
    <t>LUMEFAIR</t>
  </si>
  <si>
    <t>LUMERAX DT 20/120</t>
  </si>
  <si>
    <t>LUMET</t>
  </si>
  <si>
    <t>CIPLA QUALITY CHEMICAL INDUSTRIES LIMITED</t>
  </si>
  <si>
    <t>LUMIFORTE</t>
  </si>
  <si>
    <t>LUMIFORTE DT</t>
  </si>
  <si>
    <t>MACLEODS PHARMACEUTICAL LTD.</t>
  </si>
  <si>
    <t>OXALIS LABS</t>
  </si>
  <si>
    <t>LUMITER DS</t>
  </si>
  <si>
    <t>LUMITER DT</t>
  </si>
  <si>
    <t>MALAFENTRINE DS</t>
  </si>
  <si>
    <t>SOCOMED PHARMA PVT LTD N°3</t>
  </si>
  <si>
    <t>MALAVAN 50</t>
  </si>
  <si>
    <t>MALAVAN-30</t>
  </si>
  <si>
    <t>Scored tablet</t>
  </si>
  <si>
    <t>EXPHAR S.A.</t>
  </si>
  <si>
    <t>METLUM 20/120</t>
  </si>
  <si>
    <t>LESANTO LABORATORIES</t>
  </si>
  <si>
    <t>METLUM 80/480</t>
  </si>
  <si>
    <t>NSNPALTHER 20/120</t>
  </si>
  <si>
    <t xml:space="preserve">TRUGEN PHARMACEUTICALS PVT. LTD </t>
  </si>
  <si>
    <t>NSNPALTHER 40/240</t>
  </si>
  <si>
    <t>PALUCARE 20-160</t>
  </si>
  <si>
    <t>Dihydroartemisinin</t>
  </si>
  <si>
    <t>Piperaquine Phosphate</t>
  </si>
  <si>
    <t>PALUCARE 40-320</t>
  </si>
  <si>
    <t>PALUCURE DT 20/120</t>
  </si>
  <si>
    <t>RENA EXPORTS PVT. LTD.</t>
  </si>
  <si>
    <t>PALUMEL 20/120</t>
  </si>
  <si>
    <t>ASSOCIATED BIOTECH</t>
  </si>
  <si>
    <t>PALUMEL 80/480</t>
  </si>
  <si>
    <t>PALUMIL</t>
  </si>
  <si>
    <t>BAROQUE PHARMACEUTICALS PVT. LTD.</t>
  </si>
  <si>
    <t xml:space="preserve">PHILCO - PHARMA </t>
  </si>
  <si>
    <t>QUINEX</t>
  </si>
  <si>
    <t>PHARMAQUICK BY ABT</t>
  </si>
  <si>
    <t>QUININE PHARMAQUICK</t>
  </si>
  <si>
    <t>QUININE SULFATE</t>
  </si>
  <si>
    <t>M/S MEDICAMEN BIOTECH LTD.</t>
  </si>
  <si>
    <t>QuinineSulfate</t>
  </si>
  <si>
    <t xml:space="preserve">BAILLY-CREAT </t>
  </si>
  <si>
    <t>QUININE SULFATE PHARMAQUICK</t>
  </si>
  <si>
    <t xml:space="preserve">PHARMAQUICK BY ABT. </t>
  </si>
  <si>
    <t>QUININE SULFATE PHARMAQUICK 100</t>
  </si>
  <si>
    <t>SHAL'ARTEM FORTE</t>
  </si>
  <si>
    <t>SYNRIAM</t>
  </si>
  <si>
    <t>ARTEROLANE</t>
  </si>
  <si>
    <t>PIPERAQUINE PHOSPHATE</t>
  </si>
  <si>
    <t>SUN PHARMACEUTICALS INDUSTRIES LIMITED</t>
  </si>
  <si>
    <t>SYNRIAM DT</t>
  </si>
  <si>
    <t xml:space="preserve">SHANDONG SHENGLU PHARMACEUTICAL CO., LTD. </t>
  </si>
  <si>
    <t>TIMER</t>
  </si>
  <si>
    <t>SCILIFE PHARMA PRIVATE LIMITED</t>
  </si>
  <si>
    <t>TONLUM</t>
  </si>
  <si>
    <t>ACTON PHARMA PVT. LTD.</t>
  </si>
  <si>
    <t>CAREUS MALARIA COMBO PF (HRP2/PLDH) AG</t>
  </si>
  <si>
    <t>CAREUS MALARIA COMBO PF/PAN (HRP2/PLDH) AG</t>
  </si>
  <si>
    <t>CAREUS MALARIA PAN (PLDH) AG</t>
  </si>
  <si>
    <t>ONE STEP TEST FOR MALARIA PF/PAN AG MERISCREEN 
MALARIA PF/PAN AG</t>
  </si>
  <si>
    <t xml:space="preserve">This workbook contains data on 67 unique RDTs. Key RDT variable data have been combined from ACTwatch Lite surveys in Benin (2023), Cameroon (2024) and Nigeria (2024), as well as Nigeria’s national RDT list. 
Several variables, including those describing the RDT name, manufacturer, types of antigen and parasite tests, as well as WHO prequalified and national approval status have been standardized and validated. This document may be used as a standalone resource or as to populate auto-generation values in electronic questionnaires for future ACTwatch Lite surveys
This should serve as a living document, to which data on other RDTs is added subsequent to future ACTwatch Lite surveys so as to contain as comprehensive of a list as possible.
</t>
  </si>
  <si>
    <t xml:space="preserve">is this WHO pre-qualified?
</t>
  </si>
  <si>
    <t>LIMITATIONS</t>
  </si>
  <si>
    <t>ACTwatch Lite RDT master list</t>
  </si>
  <si>
    <t>Variable names and descriptions for each column of the master list. This tab is disaggregated into primary variables, source variables, and additional variables for documenting product information that are not needed for the ODK dataset and can be removed.</t>
  </si>
  <si>
    <t xml:space="preserve">This is a living document, which combines RDT information gathered during ACTwatch Lite data collection with existing WHO-prequalified and nationally approved RDT lists. The primary study indicator, as it pertains to RDTs, is whether (or not) an outlet stocked an RDT on the day of the survey. 
Data for product manufacturer and product name we collected in the development of this database. Product ID numbers uniquely identify products, including by number of RDTs per pack; these IDs were not included in the ACTwatch Lite pilots as the studies.  However, if desired, researchers may wish to collect and include Product ID numbers for existing and new RDT products encountered during subsequent ACTwatch Lite implementations. In doing so, researchers may be better able to identify potential duplicate entries and distinguish target antigens (Pf-pLDH, Pv-LDH, Pvom-LDH, PanLDH) with a higher degree of granularity than was originally allowed for in this database. Relatedly, RDT quality may be further assessed by determining whether a product has been ERPD-approved. If desired, researchers may choose to collect these data in future ACTwatch Lite iterations. 
Pilot iterations of ACTwatch Lite have not included the above variables because they did not serve the primary RDT indicator of intererst. However, if researcher are interested in collecting additional data points like those described above, the quantitative questionnaire (audit form) and analysis syntax will need to be updated.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</si>
</sst>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name val="Arial"/>
      <family val="2"/>
    </font>
    <font>
      <sz val="11"/>
      <name val="Calibri"/>
      <family val="2"/>
      <scheme val="minor"/>
    </font>
    <font>
      <u/>
      <sz val="11"/>
      <color theme="10"/>
      <name val="Calibri"/>
      <family val="2"/>
      <scheme val="minor"/>
    </font>
    <font>
      <sz val="11"/>
      <name val="Calibri"/>
      <family val="2"/>
    </font>
    <font>
      <sz val="10"/>
      <name val="Calibri"/>
      <family val="2"/>
      <scheme val="minor"/>
    </font>
    <font>
      <sz val="10"/>
      <color rgb="FFFF0000"/>
      <name val="Calibri"/>
      <family val="2"/>
      <scheme val="minor"/>
    </font>
    <font>
      <sz val="10"/>
      <color theme="1"/>
      <name val="Calibri"/>
      <family val="2"/>
      <scheme val="minor"/>
    </font>
    <font>
      <b/>
      <sz val="10"/>
      <color theme="1"/>
      <name val="Calibri"/>
      <family val="2"/>
      <scheme val="minor"/>
    </font>
    <font>
      <b/>
      <sz val="10"/>
      <name val="Calibri"/>
      <family val="2"/>
      <scheme val="minor"/>
    </font>
    <font>
      <sz val="9"/>
      <name val="Arial"/>
      <family val="2"/>
    </font>
    <font>
      <sz val="11"/>
      <color theme="4"/>
      <name val="Calibri"/>
      <family val="2"/>
      <scheme val="minor"/>
    </font>
    <font>
      <sz val="10"/>
      <color rgb="FF323232"/>
      <name val="Calibri"/>
      <family val="2"/>
      <scheme val="minor"/>
    </font>
    <font>
      <b/>
      <u/>
      <sz val="10"/>
      <name val="Calibri"/>
      <family val="2"/>
      <scheme val="minor"/>
    </font>
    <font>
      <sz val="10"/>
      <color rgb="FF000000"/>
      <name val="Calibri"/>
      <family val="2"/>
      <scheme val="minor"/>
    </font>
    <font>
      <b/>
      <sz val="10"/>
      <color rgb="FF000000"/>
      <name val="Calibri"/>
      <family val="2"/>
      <scheme val="minor"/>
    </font>
    <font>
      <u/>
      <sz val="10"/>
      <color rgb="FF000000"/>
      <name val="Calibri"/>
      <family val="2"/>
      <scheme val="minor"/>
    </font>
    <font>
      <sz val="10"/>
      <color theme="0"/>
      <name val="Calibri"/>
      <family val="2"/>
      <scheme val="minor"/>
    </font>
    <font>
      <b/>
      <sz val="10"/>
      <color theme="0"/>
      <name val="Calibri"/>
      <family val="2"/>
      <scheme val="minor"/>
    </font>
    <font>
      <b/>
      <sz val="24"/>
      <color theme="1"/>
      <name val="Poppins"/>
    </font>
    <font>
      <b/>
      <sz val="10"/>
      <name val="Roboto Light"/>
    </font>
    <font>
      <sz val="10"/>
      <color theme="1"/>
      <name val="Roboto Light"/>
    </font>
    <font>
      <b/>
      <u/>
      <sz val="10"/>
      <color theme="1"/>
      <name val="Roboto Light"/>
    </font>
    <font>
      <b/>
      <sz val="10"/>
      <color theme="1"/>
      <name val="Roboto Light"/>
    </font>
    <font>
      <sz val="10"/>
      <color rgb="FF000000"/>
      <name val="Roboto Light"/>
    </font>
    <font>
      <sz val="10"/>
      <color rgb="FFFF0000"/>
      <name val="Roboto Light"/>
    </font>
    <font>
      <b/>
      <sz val="10"/>
      <color theme="0"/>
      <name val="Roboto Light"/>
    </font>
    <font>
      <u/>
      <sz val="11"/>
      <color theme="10"/>
      <name val="Roboto Light"/>
    </font>
    <font>
      <sz val="10"/>
      <name val="Roboto"/>
    </font>
    <font>
      <b/>
      <sz val="10"/>
      <color theme="0"/>
      <name val="Roboto"/>
    </font>
    <font>
      <b/>
      <u/>
      <sz val="11"/>
      <color theme="0"/>
      <name val="Roboto Light"/>
    </font>
    <font>
      <u/>
      <sz val="11"/>
      <color theme="0"/>
      <name val="Roboto Light"/>
    </font>
    <font>
      <b/>
      <u/>
      <sz val="11"/>
      <color theme="1"/>
      <name val="Roboto Light"/>
    </font>
    <font>
      <b/>
      <sz val="11"/>
      <name val="Roboto Light"/>
    </font>
    <font>
      <sz val="11"/>
      <color theme="1"/>
      <name val="Roboto Light"/>
    </font>
    <font>
      <sz val="11"/>
      <name val="Roboto Light"/>
    </font>
    <font>
      <b/>
      <i/>
      <sz val="10"/>
      <name val="Roboto Light"/>
    </font>
    <font>
      <b/>
      <sz val="14"/>
      <name val="Roboto"/>
    </font>
    <font>
      <sz val="8"/>
      <color theme="1"/>
      <name val="Calibri"/>
      <family val="2"/>
      <scheme val="minor"/>
    </font>
    <font>
      <b/>
      <sz val="14"/>
      <color theme="1"/>
      <name val="Poppins"/>
    </font>
    <font>
      <sz val="8"/>
      <color theme="1"/>
      <name val="Roboto Light"/>
    </font>
    <font>
      <b/>
      <i/>
      <sz val="14"/>
      <color theme="1"/>
      <name val="Roboto"/>
    </font>
    <font>
      <b/>
      <sz val="10"/>
      <color rgb="FFFFFFFF"/>
      <name val="Roboto Light"/>
    </font>
    <font>
      <b/>
      <sz val="10"/>
      <color rgb="FF000000"/>
      <name val="Roboto Light"/>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7"/>
        <bgColor indexed="64"/>
      </patternFill>
    </fill>
    <fill>
      <patternFill patternType="solid">
        <fgColor theme="9"/>
        <bgColor indexed="64"/>
      </patternFill>
    </fill>
    <fill>
      <patternFill patternType="solid">
        <fgColor theme="4"/>
        <bgColor indexed="64"/>
      </patternFill>
    </fill>
    <fill>
      <patternFill patternType="solid">
        <fgColor theme="3"/>
        <bgColor indexed="64"/>
      </patternFill>
    </fill>
    <fill>
      <patternFill patternType="solid">
        <fgColor theme="8"/>
        <bgColor indexed="64"/>
      </patternFill>
    </fill>
    <fill>
      <patternFill patternType="solid">
        <fgColor theme="6"/>
        <bgColor indexed="64"/>
      </patternFill>
    </fill>
    <fill>
      <patternFill patternType="solid">
        <fgColor theme="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rgb="FF8FC7C7"/>
        <bgColor indexed="64"/>
      </patternFill>
    </fill>
    <fill>
      <patternFill patternType="solid">
        <fgColor rgb="FFE8F3F3"/>
        <bgColor indexed="64"/>
      </patternFill>
    </fill>
    <fill>
      <patternFill patternType="solid">
        <fgColor theme="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theme="0" tint="-0.14996795556505021"/>
      </top>
      <bottom style="thin">
        <color theme="0" tint="-0.14996795556505021"/>
      </bottom>
      <diagonal/>
    </border>
    <border>
      <left style="double">
        <color indexed="64"/>
      </left>
      <right/>
      <top/>
      <bottom/>
      <diagonal/>
    </border>
    <border>
      <left/>
      <right/>
      <top/>
      <bottom style="thin">
        <color theme="1" tint="0.499984740745262"/>
      </bottom>
      <diagonal/>
    </border>
    <border>
      <left/>
      <right/>
      <top style="thin">
        <color theme="1" tint="0.499984740745262"/>
      </top>
      <bottom style="thin">
        <color theme="1" tint="0.499984740745262"/>
      </bottom>
      <diagonal/>
    </border>
    <border>
      <left/>
      <right/>
      <top style="thin">
        <color theme="1" tint="0.499984740745262"/>
      </top>
      <bottom/>
      <diagonal/>
    </border>
    <border>
      <left/>
      <right/>
      <top style="thin">
        <color theme="0" tint="-0.14996795556505021"/>
      </top>
      <bottom style="thin">
        <color theme="1" tint="0.499984740745262"/>
      </bottom>
      <diagonal/>
    </border>
    <border>
      <left/>
      <right/>
      <top style="thin">
        <color theme="1" tint="0.499984740745262"/>
      </top>
      <bottom style="thin">
        <color theme="0" tint="-0.14993743705557422"/>
      </bottom>
      <diagonal/>
    </border>
    <border>
      <left style="medium">
        <color rgb="FF8FC7C7"/>
      </left>
      <right/>
      <top style="medium">
        <color rgb="FF8FC7C7"/>
      </top>
      <bottom style="medium">
        <color rgb="FF8FC7C7"/>
      </bottom>
      <diagonal/>
    </border>
    <border>
      <left/>
      <right/>
      <top style="medium">
        <color rgb="FF8FC7C7"/>
      </top>
      <bottom style="medium">
        <color rgb="FF8FC7C7"/>
      </bottom>
      <diagonal/>
    </border>
    <border>
      <left/>
      <right style="medium">
        <color rgb="FF8FC7C7"/>
      </right>
      <top style="medium">
        <color rgb="FF8FC7C7"/>
      </top>
      <bottom style="medium">
        <color rgb="FF8FC7C7"/>
      </bottom>
      <diagonal/>
    </border>
    <border>
      <left/>
      <right style="medium">
        <color rgb="FFBBDDDD"/>
      </right>
      <top style="medium">
        <color rgb="FF8FC7C7"/>
      </top>
      <bottom style="medium">
        <color rgb="FF8FC7C7"/>
      </bottom>
      <diagonal/>
    </border>
  </borders>
  <cellStyleXfs count="46">
    <xf numFmtId="0" fontId="0" fillId="0" borderId="0"/>
    <xf numFmtId="0" fontId="19"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xf numFmtId="0" fontId="1" fillId="0" borderId="0"/>
    <xf numFmtId="0" fontId="1" fillId="0" borderId="0"/>
  </cellStyleXfs>
  <cellXfs count="145">
    <xf numFmtId="0" fontId="0" fillId="0" borderId="0" xfId="0"/>
    <xf numFmtId="0" fontId="39" fillId="49" borderId="0" xfId="44" applyFont="1" applyFill="1" applyAlignment="1">
      <alignment horizontal="left" vertical="top" wrapText="1"/>
    </xf>
    <xf numFmtId="0" fontId="16" fillId="0" borderId="0" xfId="0" applyFont="1"/>
    <xf numFmtId="0" fontId="0" fillId="0" borderId="0" xfId="1" applyFont="1" applyAlignment="1">
      <alignment horizontal="left" vertical="center"/>
    </xf>
    <xf numFmtId="0" fontId="16" fillId="33" borderId="0" xfId="0" applyFont="1" applyFill="1"/>
    <xf numFmtId="0" fontId="0" fillId="34" borderId="0" xfId="1" applyFont="1" applyFill="1" applyAlignment="1">
      <alignment horizontal="left" vertical="center"/>
    </xf>
    <xf numFmtId="0" fontId="16" fillId="36" borderId="0" xfId="0" applyFont="1" applyFill="1"/>
    <xf numFmtId="0" fontId="0" fillId="33" borderId="0" xfId="0" applyFill="1"/>
    <xf numFmtId="0" fontId="0" fillId="37" borderId="0" xfId="0" applyFill="1"/>
    <xf numFmtId="0" fontId="16" fillId="35" borderId="0" xfId="0" applyFont="1" applyFill="1"/>
    <xf numFmtId="0" fontId="20" fillId="0" borderId="0" xfId="0" applyFont="1"/>
    <xf numFmtId="0" fontId="0" fillId="0" borderId="0" xfId="0" applyAlignment="1">
      <alignment vertical="center"/>
    </xf>
    <xf numFmtId="0" fontId="22" fillId="0" borderId="0" xfId="0" applyFont="1" applyAlignment="1">
      <alignment horizontal="left" vertical="center"/>
    </xf>
    <xf numFmtId="0" fontId="14" fillId="0" borderId="0" xfId="0" applyFont="1"/>
    <xf numFmtId="0" fontId="25" fillId="0" borderId="0" xfId="0" applyFont="1" applyAlignment="1">
      <alignment horizontal="left"/>
    </xf>
    <xf numFmtId="2" fontId="22" fillId="0" borderId="0" xfId="0" applyNumberFormat="1" applyFont="1" applyAlignment="1">
      <alignment horizontal="left" vertical="center"/>
    </xf>
    <xf numFmtId="0" fontId="28" fillId="0" borderId="0" xfId="0" applyFont="1" applyAlignment="1">
      <alignment horizontal="left" vertical="center"/>
    </xf>
    <xf numFmtId="0" fontId="29" fillId="0" borderId="0" xfId="0" applyFont="1"/>
    <xf numFmtId="0" fontId="25" fillId="0" borderId="0" xfId="0" applyFont="1" applyAlignment="1">
      <alignment horizontal="center"/>
    </xf>
    <xf numFmtId="0" fontId="25" fillId="0" borderId="0" xfId="0" applyFont="1" applyAlignment="1">
      <alignment horizontal="center" vertical="center"/>
    </xf>
    <xf numFmtId="0" fontId="24" fillId="0" borderId="0" xfId="0" applyFont="1" applyAlignment="1">
      <alignment horizontal="center"/>
    </xf>
    <xf numFmtId="0" fontId="23" fillId="0" borderId="0" xfId="0" applyFont="1" applyAlignment="1">
      <alignment horizontal="center"/>
    </xf>
    <xf numFmtId="1" fontId="25" fillId="0" borderId="0" xfId="0" applyNumberFormat="1" applyFont="1" applyAlignment="1">
      <alignment horizontal="center"/>
    </xf>
    <xf numFmtId="0" fontId="25" fillId="0" borderId="0" xfId="0" applyFont="1" applyAlignment="1">
      <alignment horizontal="center" vertical="top"/>
    </xf>
    <xf numFmtId="1" fontId="25" fillId="0" borderId="0" xfId="0" applyNumberFormat="1" applyFont="1" applyAlignment="1">
      <alignment horizontal="center" vertical="top"/>
    </xf>
    <xf numFmtId="15" fontId="25" fillId="0" borderId="0" xfId="0" applyNumberFormat="1" applyFont="1" applyAlignment="1">
      <alignment horizontal="center"/>
    </xf>
    <xf numFmtId="0" fontId="26" fillId="0" borderId="0" xfId="0" applyFont="1" applyAlignment="1">
      <alignment horizontal="center" vertical="top"/>
    </xf>
    <xf numFmtId="0" fontId="25" fillId="0" borderId="0" xfId="0" applyFont="1" applyAlignment="1">
      <alignment horizontal="left" vertical="top"/>
    </xf>
    <xf numFmtId="0" fontId="30" fillId="0" borderId="0" xfId="0" applyFont="1" applyAlignment="1">
      <alignment horizontal="left" vertical="top"/>
    </xf>
    <xf numFmtId="0" fontId="25" fillId="38" borderId="0" xfId="0" applyFont="1" applyFill="1" applyAlignment="1">
      <alignment horizontal="center" vertical="top"/>
    </xf>
    <xf numFmtId="0" fontId="27" fillId="0" borderId="0" xfId="0" applyFont="1" applyAlignment="1">
      <alignment horizontal="center" vertical="center"/>
    </xf>
    <xf numFmtId="0" fontId="27" fillId="0" borderId="0" xfId="0" applyFont="1" applyAlignment="1">
      <alignment horizontal="center" vertical="center" wrapText="1"/>
    </xf>
    <xf numFmtId="0" fontId="27" fillId="40" borderId="0" xfId="0" applyFont="1" applyFill="1" applyAlignment="1">
      <alignment horizontal="center" vertical="center" wrapText="1"/>
    </xf>
    <xf numFmtId="0" fontId="31" fillId="39" borderId="0" xfId="43" applyFont="1" applyFill="1" applyBorder="1" applyAlignment="1">
      <alignment horizontal="center" vertical="center"/>
    </xf>
    <xf numFmtId="0" fontId="27" fillId="39" borderId="0" xfId="0" applyFont="1" applyFill="1" applyAlignment="1">
      <alignment horizontal="center" vertical="center"/>
    </xf>
    <xf numFmtId="0" fontId="27" fillId="39" borderId="0" xfId="0" applyFont="1" applyFill="1" applyAlignment="1">
      <alignment horizontal="left" vertical="center"/>
    </xf>
    <xf numFmtId="0" fontId="27" fillId="0" borderId="0" xfId="0" applyFont="1" applyAlignment="1">
      <alignment horizontal="left" vertical="center"/>
    </xf>
    <xf numFmtId="0" fontId="25" fillId="0" borderId="0" xfId="0" applyFont="1" applyAlignment="1">
      <alignment vertical="top"/>
    </xf>
    <xf numFmtId="0" fontId="27" fillId="0" borderId="0" xfId="0" applyFont="1" applyAlignment="1">
      <alignment vertical="top"/>
    </xf>
    <xf numFmtId="0" fontId="25" fillId="0" borderId="0" xfId="0" applyFont="1" applyAlignment="1">
      <alignment vertical="top" wrapText="1"/>
    </xf>
    <xf numFmtId="0" fontId="32" fillId="0" borderId="0" xfId="0" applyFont="1" applyAlignment="1">
      <alignment horizontal="left" vertical="top"/>
    </xf>
    <xf numFmtId="0" fontId="33" fillId="0" borderId="0" xfId="0" applyFont="1" applyAlignment="1">
      <alignment horizontal="left" vertical="top"/>
    </xf>
    <xf numFmtId="1" fontId="32" fillId="0" borderId="0" xfId="0" applyNumberFormat="1" applyFont="1" applyAlignment="1">
      <alignment horizontal="center" vertical="top"/>
    </xf>
    <xf numFmtId="0" fontId="32" fillId="0" borderId="0" xfId="0" applyFont="1" applyAlignment="1">
      <alignment horizontal="left" vertical="top" wrapText="1"/>
    </xf>
    <xf numFmtId="0" fontId="36" fillId="33" borderId="10" xfId="0" applyFont="1" applyFill="1" applyBorder="1" applyAlignment="1">
      <alignment vertical="top"/>
    </xf>
    <xf numFmtId="0" fontId="36" fillId="43" borderId="10" xfId="0" applyFont="1" applyFill="1" applyBorder="1" applyAlignment="1">
      <alignment vertical="top"/>
    </xf>
    <xf numFmtId="0" fontId="37" fillId="0" borderId="0" xfId="0" applyFont="1" applyAlignment="1">
      <alignment vertical="top"/>
    </xf>
    <xf numFmtId="0" fontId="38" fillId="0" borderId="0" xfId="0" applyFont="1" applyAlignment="1">
      <alignment vertical="top"/>
    </xf>
    <xf numFmtId="0" fontId="39" fillId="0" borderId="0" xfId="0" applyFont="1" applyAlignment="1">
      <alignment vertical="top" wrapText="1"/>
    </xf>
    <xf numFmtId="0" fontId="39" fillId="0" borderId="0" xfId="0" applyFont="1" applyAlignment="1">
      <alignment vertical="top"/>
    </xf>
    <xf numFmtId="0" fontId="40" fillId="0" borderId="0" xfId="0" applyFont="1" applyAlignment="1">
      <alignment vertical="top"/>
    </xf>
    <xf numFmtId="0" fontId="41" fillId="0" borderId="0" xfId="0" applyFont="1" applyAlignment="1">
      <alignment vertical="top"/>
    </xf>
    <xf numFmtId="0" fontId="43" fillId="0" borderId="0" xfId="0" applyFont="1" applyAlignment="1">
      <alignment vertical="top"/>
    </xf>
    <xf numFmtId="0" fontId="47" fillId="41" borderId="12" xfId="0" applyFont="1" applyFill="1" applyBorder="1" applyAlignment="1">
      <alignment vertical="top"/>
    </xf>
    <xf numFmtId="0" fontId="47" fillId="41" borderId="12" xfId="0" applyFont="1" applyFill="1" applyBorder="1" applyAlignment="1">
      <alignment vertical="top" wrapText="1"/>
    </xf>
    <xf numFmtId="0" fontId="38" fillId="0" borderId="13" xfId="0" applyFont="1" applyBorder="1" applyAlignment="1">
      <alignment vertical="top"/>
    </xf>
    <xf numFmtId="0" fontId="39" fillId="0" borderId="13" xfId="0" applyFont="1" applyBorder="1" applyAlignment="1">
      <alignment vertical="top" wrapText="1"/>
    </xf>
    <xf numFmtId="0" fontId="44" fillId="41" borderId="13" xfId="0" applyFont="1" applyFill="1" applyBorder="1" applyAlignment="1">
      <alignment horizontal="left" vertical="center"/>
    </xf>
    <xf numFmtId="1" fontId="44" fillId="42" borderId="13" xfId="0" applyNumberFormat="1" applyFont="1" applyFill="1" applyBorder="1" applyAlignment="1">
      <alignment horizontal="left"/>
    </xf>
    <xf numFmtId="0" fontId="44" fillId="33" borderId="13" xfId="0" applyFont="1" applyFill="1" applyBorder="1" applyAlignment="1">
      <alignment horizontal="left" vertical="center"/>
    </xf>
    <xf numFmtId="0" fontId="44" fillId="33" borderId="13" xfId="0" applyFont="1" applyFill="1" applyBorder="1" applyAlignment="1">
      <alignment horizontal="left" vertical="top"/>
    </xf>
    <xf numFmtId="0" fontId="44" fillId="43" borderId="13" xfId="0" applyFont="1" applyFill="1" applyBorder="1" applyAlignment="1">
      <alignment horizontal="left" vertical="center"/>
    </xf>
    <xf numFmtId="0" fontId="44" fillId="43" borderId="14" xfId="0" applyFont="1" applyFill="1" applyBorder="1" applyAlignment="1">
      <alignment horizontal="left" vertical="top"/>
    </xf>
    <xf numFmtId="0" fontId="39" fillId="0" borderId="14" xfId="0" applyFont="1" applyBorder="1" applyAlignment="1">
      <alignment vertical="top"/>
    </xf>
    <xf numFmtId="0" fontId="46"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4" fillId="0" borderId="13" xfId="0" applyFont="1" applyBorder="1"/>
    <xf numFmtId="0" fontId="55" fillId="0" borderId="0" xfId="0" applyFont="1" applyAlignment="1">
      <alignment vertical="top"/>
    </xf>
    <xf numFmtId="0" fontId="25" fillId="45" borderId="0" xfId="0" applyFont="1" applyFill="1" applyAlignment="1">
      <alignment vertical="top"/>
    </xf>
    <xf numFmtId="0" fontId="25" fillId="45" borderId="0" xfId="0" applyFont="1" applyFill="1" applyAlignment="1">
      <alignment horizontal="left" vertical="top"/>
    </xf>
    <xf numFmtId="0" fontId="40" fillId="45" borderId="0" xfId="0" applyFont="1" applyFill="1" applyAlignment="1">
      <alignment vertical="top"/>
    </xf>
    <xf numFmtId="0" fontId="40" fillId="45" borderId="0" xfId="0" applyFont="1" applyFill="1" applyAlignment="1">
      <alignment horizontal="left" vertical="top"/>
    </xf>
    <xf numFmtId="0" fontId="41" fillId="45" borderId="0" xfId="0" applyFont="1" applyFill="1" applyAlignment="1">
      <alignment vertical="top"/>
    </xf>
    <xf numFmtId="0" fontId="39" fillId="45" borderId="0" xfId="0" applyFont="1" applyFill="1" applyAlignment="1">
      <alignment vertical="top"/>
    </xf>
    <xf numFmtId="1" fontId="42" fillId="45" borderId="0" xfId="0" applyNumberFormat="1" applyFont="1" applyFill="1" applyAlignment="1">
      <alignment horizontal="left"/>
    </xf>
    <xf numFmtId="0" fontId="39" fillId="45" borderId="0" xfId="0" applyFont="1" applyFill="1" applyAlignment="1">
      <alignment horizontal="left" vertical="top"/>
    </xf>
    <xf numFmtId="0" fontId="50" fillId="45" borderId="0" xfId="0" applyFont="1" applyFill="1" applyAlignment="1">
      <alignment vertical="top"/>
    </xf>
    <xf numFmtId="0" fontId="50" fillId="45" borderId="0" xfId="0" applyFont="1" applyFill="1" applyAlignment="1">
      <alignment horizontal="left" vertical="top"/>
    </xf>
    <xf numFmtId="0" fontId="52" fillId="45" borderId="0" xfId="0" applyFont="1" applyFill="1" applyAlignment="1">
      <alignment vertical="top"/>
    </xf>
    <xf numFmtId="0" fontId="52" fillId="45" borderId="0" xfId="0" applyFont="1" applyFill="1" applyAlignment="1">
      <alignment horizontal="left" vertical="top"/>
    </xf>
    <xf numFmtId="0" fontId="38" fillId="45" borderId="0" xfId="0" applyFont="1" applyFill="1" applyAlignment="1">
      <alignment vertical="top"/>
    </xf>
    <xf numFmtId="0" fontId="39" fillId="45" borderId="0" xfId="0" applyFont="1" applyFill="1" applyAlignment="1">
      <alignment vertical="top" wrapText="1"/>
    </xf>
    <xf numFmtId="0" fontId="48" fillId="41" borderId="0" xfId="0" applyFont="1" applyFill="1" applyAlignment="1">
      <alignment vertical="top"/>
    </xf>
    <xf numFmtId="0" fontId="49" fillId="41" borderId="0" xfId="0" applyFont="1" applyFill="1" applyAlignment="1">
      <alignment vertical="top" wrapText="1"/>
    </xf>
    <xf numFmtId="0" fontId="50" fillId="41" borderId="0" xfId="0" applyFont="1" applyFill="1" applyAlignment="1">
      <alignment vertical="top"/>
    </xf>
    <xf numFmtId="0" fontId="39" fillId="0" borderId="14" xfId="0" applyFont="1" applyBorder="1" applyAlignment="1">
      <alignment vertical="top" wrapText="1"/>
    </xf>
    <xf numFmtId="0" fontId="39" fillId="0" borderId="12" xfId="0" applyFont="1" applyBorder="1" applyAlignment="1">
      <alignment vertical="top" wrapText="1"/>
    </xf>
    <xf numFmtId="1" fontId="32" fillId="0" borderId="0" xfId="0" applyNumberFormat="1" applyFont="1" applyAlignment="1">
      <alignment horizontal="left" vertical="top"/>
    </xf>
    <xf numFmtId="0" fontId="35" fillId="41" borderId="11" xfId="0" applyFont="1" applyFill="1" applyBorder="1" applyAlignment="1">
      <alignment horizontal="left" vertical="top"/>
    </xf>
    <xf numFmtId="1" fontId="35" fillId="42" borderId="0" xfId="0" applyNumberFormat="1" applyFont="1" applyFill="1" applyAlignment="1">
      <alignment horizontal="left" vertical="top"/>
    </xf>
    <xf numFmtId="0" fontId="35" fillId="33" borderId="0" xfId="0" applyFont="1" applyFill="1" applyAlignment="1">
      <alignment horizontal="center" vertical="top" wrapText="1"/>
    </xf>
    <xf numFmtId="0" fontId="36" fillId="43" borderId="0" xfId="0" applyFont="1" applyFill="1" applyAlignment="1">
      <alignment horizontal="center" vertical="top"/>
    </xf>
    <xf numFmtId="1" fontId="24" fillId="0" borderId="0" xfId="0" applyNumberFormat="1" applyFont="1" applyAlignment="1">
      <alignment horizontal="center" vertical="top"/>
    </xf>
    <xf numFmtId="0" fontId="32" fillId="0" borderId="11" xfId="0" applyFont="1" applyBorder="1" applyAlignment="1">
      <alignment horizontal="left" vertical="top"/>
    </xf>
    <xf numFmtId="0" fontId="32" fillId="0" borderId="0" xfId="0" applyFont="1" applyAlignment="1">
      <alignment vertical="top"/>
    </xf>
    <xf numFmtId="0" fontId="32" fillId="0" borderId="11" xfId="0" applyFont="1" applyBorder="1" applyAlignment="1">
      <alignment vertical="top"/>
    </xf>
    <xf numFmtId="0" fontId="32" fillId="0" borderId="0" xfId="0" quotePrefix="1" applyFont="1" applyAlignment="1">
      <alignment horizontal="left" vertical="top"/>
    </xf>
    <xf numFmtId="15" fontId="32" fillId="0" borderId="0" xfId="0" applyNumberFormat="1" applyFont="1" applyAlignment="1">
      <alignment horizontal="left" vertical="top"/>
    </xf>
    <xf numFmtId="1" fontId="32" fillId="0" borderId="0" xfId="0" applyNumberFormat="1" applyFont="1" applyAlignment="1">
      <alignment vertical="top"/>
    </xf>
    <xf numFmtId="0" fontId="32" fillId="0" borderId="0" xfId="0" applyFont="1" applyAlignment="1">
      <alignment horizontal="center" vertical="top"/>
    </xf>
    <xf numFmtId="0" fontId="32" fillId="44" borderId="0" xfId="0" applyFont="1" applyFill="1" applyAlignment="1">
      <alignment vertical="top"/>
    </xf>
    <xf numFmtId="0" fontId="0" fillId="0" borderId="0" xfId="0" applyAlignment="1">
      <alignment vertical="top"/>
    </xf>
    <xf numFmtId="1" fontId="32" fillId="0" borderId="11" xfId="0" applyNumberFormat="1" applyFont="1" applyBorder="1" applyAlignment="1">
      <alignment horizontal="center" vertical="top"/>
    </xf>
    <xf numFmtId="164" fontId="32" fillId="0" borderId="0" xfId="0" applyNumberFormat="1" applyFont="1" applyAlignment="1">
      <alignment horizontal="left" vertical="top"/>
    </xf>
    <xf numFmtId="0" fontId="34" fillId="0" borderId="0" xfId="43" applyFont="1" applyFill="1" applyBorder="1" applyAlignment="1">
      <alignment horizontal="left" vertical="top"/>
    </xf>
    <xf numFmtId="0" fontId="51" fillId="38" borderId="15" xfId="0" applyFont="1" applyFill="1" applyBorder="1" applyAlignment="1">
      <alignment vertical="top"/>
    </xf>
    <xf numFmtId="0" fontId="51" fillId="33" borderId="13" xfId="0" applyFont="1" applyFill="1" applyBorder="1" applyAlignment="1">
      <alignment vertical="top"/>
    </xf>
    <xf numFmtId="0" fontId="52" fillId="0" borderId="13" xfId="0" applyFont="1" applyBorder="1" applyAlignment="1">
      <alignment horizontal="left" vertical="top" wrapText="1"/>
    </xf>
    <xf numFmtId="0" fontId="45" fillId="0" borderId="13" xfId="43" applyFont="1" applyBorder="1" applyAlignment="1">
      <alignment horizontal="left" vertical="center" wrapText="1"/>
    </xf>
    <xf numFmtId="0" fontId="51" fillId="42" borderId="13" xfId="0" applyFont="1" applyFill="1" applyBorder="1" applyAlignment="1">
      <alignment vertical="top"/>
    </xf>
    <xf numFmtId="0" fontId="51" fillId="43" borderId="16" xfId="0" applyFont="1" applyFill="1" applyBorder="1" applyAlignment="1">
      <alignment vertical="top"/>
    </xf>
    <xf numFmtId="0" fontId="45" fillId="0" borderId="14" xfId="43" applyFont="1" applyBorder="1" applyAlignment="1">
      <alignment horizontal="left" vertical="center" wrapText="1"/>
    </xf>
    <xf numFmtId="0" fontId="52" fillId="0" borderId="12" xfId="0" applyFont="1" applyBorder="1" applyAlignment="1">
      <alignment horizontal="left" vertical="top" wrapText="1"/>
    </xf>
    <xf numFmtId="0" fontId="53" fillId="0" borderId="14" xfId="0" applyFont="1" applyBorder="1" applyAlignment="1">
      <alignment horizontal="left" vertical="top" wrapText="1"/>
    </xf>
    <xf numFmtId="0" fontId="56" fillId="46" borderId="0" xfId="44" applyFont="1" applyFill="1" applyAlignment="1">
      <alignment vertical="top"/>
    </xf>
    <xf numFmtId="0" fontId="57" fillId="46" borderId="0" xfId="44" applyFont="1" applyFill="1" applyAlignment="1">
      <alignment vertical="top" wrapText="1"/>
    </xf>
    <xf numFmtId="0" fontId="39" fillId="46" borderId="0" xfId="44" applyFont="1" applyFill="1" applyAlignment="1">
      <alignment vertical="top"/>
    </xf>
    <xf numFmtId="0" fontId="58" fillId="46" borderId="0" xfId="44" applyFont="1" applyFill="1" applyAlignment="1">
      <alignment vertical="top"/>
    </xf>
    <xf numFmtId="0" fontId="57" fillId="46" borderId="0" xfId="44" applyFont="1" applyFill="1" applyAlignment="1">
      <alignment vertical="top"/>
    </xf>
    <xf numFmtId="0" fontId="59" fillId="46" borderId="0" xfId="44" applyFont="1" applyFill="1" applyAlignment="1">
      <alignment vertical="top"/>
    </xf>
    <xf numFmtId="0" fontId="59" fillId="46" borderId="0" xfId="44" applyFont="1" applyFill="1" applyAlignment="1">
      <alignment vertical="top" wrapText="1"/>
    </xf>
    <xf numFmtId="0" fontId="39" fillId="46" borderId="0" xfId="44" applyFont="1" applyFill="1" applyAlignment="1">
      <alignment vertical="top" wrapText="1"/>
    </xf>
    <xf numFmtId="0" fontId="57" fillId="0" borderId="0" xfId="44" applyFont="1" applyAlignment="1">
      <alignment vertical="top" wrapText="1"/>
    </xf>
    <xf numFmtId="0" fontId="39" fillId="0" borderId="0" xfId="44" applyFont="1" applyAlignment="1">
      <alignment vertical="top" wrapText="1"/>
    </xf>
    <xf numFmtId="0" fontId="57" fillId="0" borderId="0" xfId="44" applyFont="1" applyAlignment="1">
      <alignment horizontal="left" vertical="top" wrapText="1"/>
    </xf>
    <xf numFmtId="0" fontId="60" fillId="47" borderId="19" xfId="45" applyFont="1" applyFill="1" applyBorder="1" applyAlignment="1">
      <alignment horizontal="left" vertical="top" wrapText="1"/>
    </xf>
    <xf numFmtId="0" fontId="42" fillId="48" borderId="19" xfId="45" applyFont="1" applyFill="1" applyBorder="1" applyAlignment="1">
      <alignment horizontal="left" vertical="top" wrapText="1"/>
    </xf>
    <xf numFmtId="0" fontId="58" fillId="49" borderId="0" xfId="44" applyFont="1" applyFill="1" applyAlignment="1">
      <alignment vertical="top"/>
    </xf>
    <xf numFmtId="0" fontId="61" fillId="49" borderId="0" xfId="45" applyFont="1" applyFill="1" applyAlignment="1">
      <alignment horizontal="left" vertical="top" wrapText="1"/>
    </xf>
    <xf numFmtId="0" fontId="42" fillId="49" borderId="0" xfId="45" applyFont="1" applyFill="1" applyAlignment="1">
      <alignment horizontal="left" vertical="top" wrapText="1"/>
    </xf>
    <xf numFmtId="0" fontId="57" fillId="49" borderId="0" xfId="44" applyFont="1" applyFill="1" applyAlignment="1">
      <alignment vertical="top" wrapText="1"/>
    </xf>
    <xf numFmtId="0" fontId="39" fillId="46" borderId="0" xfId="44" applyFont="1" applyFill="1" applyAlignment="1">
      <alignment horizontal="left" vertical="top" wrapText="1"/>
    </xf>
    <xf numFmtId="0" fontId="39" fillId="46" borderId="0" xfId="44" applyFont="1" applyFill="1" applyAlignment="1">
      <alignment horizontal="left" vertical="top"/>
    </xf>
    <xf numFmtId="1" fontId="32" fillId="0" borderId="0" xfId="0" applyNumberFormat="1" applyFont="1" applyAlignment="1">
      <alignment horizontal="left" vertical="top" wrapText="1"/>
    </xf>
    <xf numFmtId="0" fontId="58" fillId="0" borderId="0" xfId="44" applyFont="1" applyAlignment="1">
      <alignment vertical="top"/>
    </xf>
    <xf numFmtId="0" fontId="39" fillId="49" borderId="0" xfId="44" applyFont="1" applyFill="1" applyAlignment="1">
      <alignment horizontal="left" vertical="top"/>
    </xf>
    <xf numFmtId="0" fontId="39" fillId="0" borderId="0" xfId="44" applyFont="1" applyAlignment="1">
      <alignment horizontal="left" vertical="top" wrapText="1"/>
    </xf>
    <xf numFmtId="0" fontId="57" fillId="0" borderId="0" xfId="44" applyFont="1" applyAlignment="1">
      <alignment horizontal="left" vertical="top" wrapText="1"/>
    </xf>
    <xf numFmtId="0" fontId="39" fillId="0" borderId="0" xfId="44" applyFont="1" applyAlignment="1">
      <alignment vertical="top" wrapText="1"/>
    </xf>
    <xf numFmtId="0" fontId="60" fillId="47" borderId="17" xfId="45" applyFont="1" applyFill="1" applyBorder="1" applyAlignment="1">
      <alignment horizontal="left" vertical="top" wrapText="1"/>
    </xf>
    <xf numFmtId="0" fontId="60" fillId="47" borderId="18" xfId="45" applyFont="1" applyFill="1" applyBorder="1" applyAlignment="1">
      <alignment horizontal="left" vertical="top" wrapText="1"/>
    </xf>
    <xf numFmtId="0" fontId="61" fillId="48" borderId="17" xfId="45" applyFont="1" applyFill="1" applyBorder="1" applyAlignment="1">
      <alignment horizontal="left" vertical="top" wrapText="1"/>
    </xf>
    <xf numFmtId="0" fontId="61" fillId="48" borderId="20" xfId="45" applyFont="1" applyFill="1" applyBorder="1" applyAlignment="1">
      <alignment horizontal="left" vertical="top" wrapText="1"/>
    </xf>
    <xf numFmtId="0" fontId="39" fillId="0" borderId="0" xfId="44" applyFont="1" applyAlignment="1">
      <alignment horizontal="left" vertical="top"/>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rmal 2 2" xfId="45" xr:uid="{E2A74651-2849-4F87-8D33-7E74C06EE7F5}"/>
    <cellStyle name="Normal 3" xfId="44" xr:uid="{124DA01B-A275-42D4-BF6C-C4A1767A3472}"/>
    <cellStyle name="Note" xfId="16" builtinId="10" customBuiltin="1"/>
    <cellStyle name="Output" xfId="11" builtinId="21" customBuiltin="1"/>
    <cellStyle name="RowLevel_4" xfId="1" builtinId="1" iLevel="3"/>
    <cellStyle name="Title" xfId="2" builtinId="15" customBuiltin="1"/>
    <cellStyle name="Total" xfId="18" builtinId="25" customBuiltin="1"/>
    <cellStyle name="Warning Text" xfId="15" builtinId="11" customBuiltin="1"/>
  </cellStyles>
  <dxfs count="22">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alignment horizontal="left"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alignment horizontal="left"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left" vertical="top" textRotation="0" wrapText="0" indent="0" justifyLastLine="0" shrinkToFit="0" readingOrder="0"/>
      <border diagonalUp="0" diagonalDown="0" outline="0">
        <left style="double">
          <color indexed="64"/>
        </left>
        <right style="double">
          <color indexed="64"/>
        </right>
        <top/>
        <bottom/>
      </border>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alignment horizontal="left" vertical="top" textRotation="0" wrapText="0" indent="0" justifyLastLine="0" shrinkToFit="0" readingOrder="0"/>
    </dxf>
    <dxf>
      <font>
        <b val="0"/>
        <i val="0"/>
        <strike val="0"/>
        <condense val="0"/>
        <extend val="0"/>
        <outline val="0"/>
        <shadow val="0"/>
        <u val="none"/>
        <vertAlign val="baseline"/>
        <sz val="10"/>
        <color rgb="FF000000"/>
        <name val="Calibri"/>
        <family val="2"/>
        <scheme val="minor"/>
      </font>
      <numFmt numFmtId="1" formatCode="0"/>
      <fill>
        <patternFill patternType="none">
          <fgColor indexed="64"/>
          <bgColor indexed="65"/>
        </patternFill>
      </fill>
      <alignment horizontal="left" vertical="top" textRotation="0" wrapText="0" indent="0" justifyLastLine="0" shrinkToFit="0" readingOrder="0"/>
    </dxf>
    <dxf>
      <font>
        <color rgb="FF000000"/>
        <family val="2"/>
      </font>
      <alignment vertical="top" textRotation="0" indent="0" justifyLastLine="0" shrinkToFit="0" readingOrder="0"/>
    </dxf>
    <dxf>
      <font>
        <b val="0"/>
        <i val="0"/>
        <strike val="0"/>
        <condense val="0"/>
        <extend val="0"/>
        <outline val="0"/>
        <shadow val="0"/>
        <u val="none"/>
        <vertAlign val="baseline"/>
        <sz val="10"/>
        <color rgb="FF000000"/>
        <name val="Calibri"/>
        <family val="2"/>
        <scheme val="minor"/>
      </font>
      <fill>
        <patternFill patternType="solid">
          <fgColor indexed="64"/>
          <bgColor theme="5"/>
        </patternFill>
      </fill>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Erica Wang" id="{F1952281-16B4-4215-8DDA-93B5663BC68A}" userId="S::ewang@psi.org::7ae90e5f-ef07-4b36-87bc-7ce736b8208f" providerId="AD"/>
  <person displayName="Katelyn Woolheater" id="{803A384F-F2D0-46B7-99BD-BC376E07EBFA}" userId="S::kwoolheater@psi.org::6fb597a7-f115-4610-b283-fcc16880723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6EE549-0ED8-8541-81C7-72E4D87E6D4D}" name="Table1" displayName="Table1" ref="B1:S67" totalsRowShown="0" headerRowDxfId="21" dataDxfId="20">
  <tableColumns count="18">
    <tableColumn id="6" xr3:uid="{B09D6ED3-8353-A549-AEE1-C96FAC02FFC8}" name="rdtManu" dataDxfId="19"/>
    <tableColumn id="1" xr3:uid="{324BC89C-F4B0-4F44-8F2B-F51104C04A4C}" name="rdtBrand" dataDxfId="18"/>
    <tableColumn id="7" xr3:uid="{97B6CB17-273F-9D4E-8115-07AED9C1D063}" name="HRP2" dataDxfId="17"/>
    <tableColumn id="8" xr3:uid="{1DF01496-4832-E448-A897-0E39433BACE9}" name="pLDH" dataDxfId="16"/>
    <tableColumn id="9" xr3:uid="{A2884FF5-E74D-3248-9535-830BCB0C67D1}" name="Aldolase" dataDxfId="15"/>
    <tableColumn id="10" xr3:uid="{FC5D6159-C51B-6A4C-B010-DFAA5640F6CD}" name="anti_lbl" dataDxfId="14"/>
    <tableColumn id="11" xr3:uid="{D8D2E51C-F728-3A42-8AB4-A888DC21888C}" name="Pf" dataDxfId="13"/>
    <tableColumn id="12" xr3:uid="{7DA36095-E148-6240-B285-2B33E2AA41E1}" name="Pv" dataDxfId="12"/>
    <tableColumn id="13" xr3:uid="{D53327FD-AE8E-2345-B9B1-224FD73DDEB1}" name="Pan" dataDxfId="11"/>
    <tableColumn id="14" xr3:uid="{72BA3654-B5E4-074D-A0BD-53D9D507018B}" name="VOM" dataDxfId="10"/>
    <tableColumn id="15" xr3:uid="{719A6E5D-7A25-844E-9919-0E4C9FD36E19}" name="parasite_lbl" dataDxfId="9"/>
    <tableColumn id="4" xr3:uid="{EC1681F7-6A90-174D-A939-0205EB53E433}" name="qardt" dataDxfId="8"/>
    <tableColumn id="3" xr3:uid="{16C26ADC-191D-6D4D-9974-6435580F9C6B}" name="natapp" dataDxfId="7"/>
    <tableColumn id="2" xr3:uid="{2EBA748C-36E2-304A-B54F-485469F8EFBF}" name="source" dataDxfId="6"/>
    <tableColumn id="16" xr3:uid="{5E49EE30-23FD-5B4E-9209-73B9846207E9}" name="BEN23_ID" dataDxfId="5"/>
    <tableColumn id="17" xr3:uid="{ECA52479-D114-654A-A0DC-55CD1A75EB42}" name="AMM" dataDxfId="4"/>
    <tableColumn id="22" xr3:uid="{379554E9-3A9E-0A42-8B6F-29F2541C5788}" name="CMR24_ID2" dataDxfId="3"/>
    <tableColumn id="23" xr3:uid="{BBBC1BB9-0E5F-1A4D-A078-CB9F539488E4}" name="NAFDAC_REGNO" dataDxfId="2"/>
  </tableColumns>
  <tableStyleInfo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00B0F0"/>
      </a:accent1>
      <a:accent2>
        <a:srgbClr val="FF9933"/>
      </a:accent2>
      <a:accent3>
        <a:srgbClr val="00AB69"/>
      </a:accent3>
      <a:accent4>
        <a:srgbClr val="FFFF00"/>
      </a:accent4>
      <a:accent5>
        <a:srgbClr val="A02B93"/>
      </a:accent5>
      <a:accent6>
        <a:srgbClr val="FF3399"/>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3-06-01T17:25:04.51" personId="{803A384F-F2D0-46B7-99BD-BC376E07EBFA}" id="{09087559-79A0-484A-B621-385FE6F2F591}">
    <text>Steve can we fill in missing dosage form?</text>
  </threadedComment>
  <threadedComment ref="D99" dT="2023-05-31T02:31:47.69" personId="{F1952281-16B4-4215-8DDA-93B5663BC68A}" id="{8D18AAF8-D498-4998-BCF5-5A47ACC3333D}">
    <text>No dosage form listed, but assuming it's a liquid based on ml</text>
  </threadedComment>
  <threadedComment ref="D100" dT="2023-05-31T02:33:02.48" personId="{F1952281-16B4-4215-8DDA-93B5663BC68A}" id="{222D6232-C95D-4D93-B52B-16C245334543}">
    <text>No dosage form listed, assuming it's liquid of some sort based on dosages</text>
  </threadedComment>
  <threadedComment ref="D101" dT="2023-05-31T02:55:42.34" personId="{F1952281-16B4-4215-8DDA-93B5663BC68A}" id="{A5B927F4-9E16-4D1A-B5D4-E7FF7432B945}">
    <text>No dosage form listed, assuming it's liquid of some sort based on dosages</text>
  </threadedComment>
  <threadedComment ref="D102" dT="2023-05-31T02:57:21.11" personId="{F1952281-16B4-4215-8DDA-93B5663BC68A}" id="{4CDDD49E-DC24-42C0-A245-10F3E2789C91}">
    <text>No dosage form listed, but based on dosage strength I put it in the syrups/suspensions etc section</text>
  </threadedComment>
  <threadedComment ref="D365" dT="2023-05-31T02:23:41.18" personId="{F1952281-16B4-4215-8DDA-93B5663BC68A}" id="{81B54737-87B9-4F65-9C2F-13B0DAF3C268}">
    <text>This one did not have a form listed, but based on dosages should be a tablet of some sort?</text>
  </threadedComment>
  <threadedComment ref="D368" dT="2023-05-31T02:26:56.13" personId="{F1952281-16B4-4215-8DDA-93B5663BC68A}" id="{59AE8FFE-8F9B-4CF5-AA13-D72FAB58E786}">
    <text>This one did not have a dosage form listed</text>
  </threadedComment>
</ThreadedComment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reenbook.nafdac.gov.ng/" TargetMode="External"/><Relationship Id="rId1" Type="http://schemas.openxmlformats.org/officeDocument/2006/relationships/hyperlink" Target="../../../../../../../:w:/r/sites/ACTWatchLite/Shared%20Documents/2.%20Technical/2.%20Cameroon/Product%20lists/Antipaludiques%20et%20TDR%20enregistres%20-%20Updated%20May%202023.docx?d=we46c47baa9b6481bb41bad7dd7cfa847&amp;csf=1&amp;web=1&amp;e=km2Mcw"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ref.no/"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B1D10-C7EA-45FB-B599-E762CCD2AC02}">
  <sheetPr>
    <tabColor rgb="FF00B050"/>
  </sheetPr>
  <dimension ref="A1:H19"/>
  <sheetViews>
    <sheetView showGridLines="0" tabSelected="1" topLeftCell="A5" zoomScaleNormal="100" workbookViewId="0">
      <selection activeCell="C15" sqref="C15:F15"/>
    </sheetView>
  </sheetViews>
  <sheetFormatPr baseColWidth="10" defaultColWidth="0" defaultRowHeight="0" customHeight="1" zeroHeight="1" x14ac:dyDescent="0.2"/>
  <cols>
    <col min="1" max="1" width="9.1640625" style="115" customWidth="1"/>
    <col min="2" max="2" width="26.6640625" style="116" customWidth="1"/>
    <col min="3" max="3" width="6.33203125" style="117" customWidth="1"/>
    <col min="4" max="4" width="28.83203125" style="118" customWidth="1"/>
    <col min="5" max="5" width="120.5" style="118" customWidth="1"/>
    <col min="6" max="6" width="7.5" style="118" customWidth="1"/>
    <col min="7" max="7" width="9.1640625" style="118" customWidth="1"/>
    <col min="8" max="8" width="9.1640625" style="115" customWidth="1"/>
    <col min="9" max="16384" width="9.1640625" style="115" hidden="1"/>
  </cols>
  <sheetData>
    <row r="1" spans="1:8" ht="20.25" customHeight="1" x14ac:dyDescent="0.2"/>
    <row r="2" spans="1:8" ht="20.25" customHeight="1" x14ac:dyDescent="0.2">
      <c r="B2" s="119" t="s">
        <v>1408</v>
      </c>
    </row>
    <row r="3" spans="1:8" ht="20.25" customHeight="1" x14ac:dyDescent="0.2">
      <c r="B3" s="120" t="s">
        <v>0</v>
      </c>
      <c r="C3" s="121"/>
      <c r="D3" s="121"/>
    </row>
    <row r="4" spans="1:8" ht="20.25" customHeight="1" x14ac:dyDescent="0.2">
      <c r="C4" s="122"/>
    </row>
    <row r="5" spans="1:8" ht="102" customHeight="1" x14ac:dyDescent="0.2">
      <c r="B5" s="123" t="s">
        <v>1</v>
      </c>
      <c r="C5" s="137" t="s">
        <v>1405</v>
      </c>
      <c r="D5" s="137"/>
      <c r="E5" s="137"/>
      <c r="F5" s="124"/>
    </row>
    <row r="6" spans="1:8" ht="22" x14ac:dyDescent="0.2">
      <c r="C6" s="122"/>
    </row>
    <row r="7" spans="1:8" s="118" customFormat="1" ht="21" customHeight="1" thickBot="1" x14ac:dyDescent="0.25">
      <c r="A7" s="115"/>
      <c r="B7" s="138" t="s">
        <v>2</v>
      </c>
      <c r="C7" s="139"/>
      <c r="D7" s="139"/>
      <c r="E7" s="139"/>
      <c r="F7" s="139"/>
      <c r="H7" s="115"/>
    </row>
    <row r="8" spans="1:8" s="118" customFormat="1" ht="24.75" customHeight="1" thickBot="1" x14ac:dyDescent="0.25">
      <c r="A8" s="115"/>
      <c r="B8" s="138"/>
      <c r="C8" s="140" t="s">
        <v>3</v>
      </c>
      <c r="D8" s="141"/>
      <c r="E8" s="126" t="s">
        <v>4</v>
      </c>
      <c r="F8" s="124"/>
      <c r="H8" s="115"/>
    </row>
    <row r="9" spans="1:8" s="118" customFormat="1" ht="45" customHeight="1" thickBot="1" x14ac:dyDescent="0.25">
      <c r="A9" s="115"/>
      <c r="B9" s="138"/>
      <c r="C9" s="142" t="s">
        <v>5</v>
      </c>
      <c r="D9" s="143"/>
      <c r="E9" s="127" t="s">
        <v>1409</v>
      </c>
      <c r="F9" s="124"/>
      <c r="H9" s="115"/>
    </row>
    <row r="10" spans="1:8" s="118" customFormat="1" ht="45" customHeight="1" thickBot="1" x14ac:dyDescent="0.25">
      <c r="A10" s="115"/>
      <c r="B10" s="138"/>
      <c r="C10" s="142" t="s">
        <v>6</v>
      </c>
      <c r="D10" s="143"/>
      <c r="E10" s="127" t="s">
        <v>7</v>
      </c>
      <c r="F10" s="128"/>
      <c r="H10" s="115"/>
    </row>
    <row r="11" spans="1:8" s="118" customFormat="1" ht="28" customHeight="1" x14ac:dyDescent="0.2">
      <c r="A11" s="115"/>
      <c r="B11" s="125"/>
      <c r="C11" s="129"/>
      <c r="D11" s="129"/>
      <c r="E11" s="130"/>
      <c r="F11" s="128"/>
      <c r="H11" s="115"/>
    </row>
    <row r="12" spans="1:8" s="118" customFormat="1" ht="20.25" customHeight="1" x14ac:dyDescent="0.2">
      <c r="A12" s="115"/>
      <c r="B12" s="116"/>
      <c r="C12" s="117"/>
      <c r="H12" s="115"/>
    </row>
    <row r="13" spans="1:8" s="118" customFormat="1" ht="202.5" customHeight="1" x14ac:dyDescent="0.2">
      <c r="A13" s="115"/>
      <c r="B13" s="123" t="s">
        <v>1407</v>
      </c>
      <c r="C13" s="137" t="s">
        <v>1410</v>
      </c>
      <c r="D13" s="144"/>
      <c r="E13" s="144"/>
      <c r="F13" s="135"/>
      <c r="H13" s="115"/>
    </row>
    <row r="14" spans="1:8" s="118" customFormat="1" ht="20.25" customHeight="1" x14ac:dyDescent="0.2">
      <c r="A14" s="115"/>
      <c r="B14" s="116"/>
      <c r="C14" s="117"/>
      <c r="H14" s="115"/>
    </row>
    <row r="15" spans="1:8" s="118" customFormat="1" ht="100.5" customHeight="1" x14ac:dyDescent="0.2">
      <c r="A15" s="115"/>
      <c r="B15" s="131" t="s">
        <v>8</v>
      </c>
      <c r="C15" s="1" t="s">
        <v>9</v>
      </c>
      <c r="D15" s="136"/>
      <c r="E15" s="136"/>
      <c r="F15" s="136"/>
      <c r="H15" s="115"/>
    </row>
    <row r="16" spans="1:8" s="118" customFormat="1" ht="20.25" customHeight="1" x14ac:dyDescent="0.2">
      <c r="A16" s="115"/>
      <c r="B16" s="116"/>
      <c r="C16" s="117"/>
      <c r="H16" s="115"/>
    </row>
    <row r="17" spans="1:8" s="118" customFormat="1" ht="61.5" customHeight="1" x14ac:dyDescent="0.2">
      <c r="A17" s="115"/>
      <c r="B17" s="116"/>
      <c r="C17" s="132"/>
      <c r="D17" s="133"/>
      <c r="E17" s="133"/>
      <c r="F17" s="133"/>
      <c r="H17" s="115"/>
    </row>
    <row r="18" spans="1:8" s="118" customFormat="1" ht="0" hidden="1" customHeight="1" x14ac:dyDescent="0.2">
      <c r="A18" s="115"/>
      <c r="B18" s="116"/>
      <c r="C18" s="117"/>
      <c r="H18" s="115"/>
    </row>
    <row r="19" spans="1:8" ht="20.25" customHeight="1" x14ac:dyDescent="0.2"/>
  </sheetData>
  <mergeCells count="8">
    <mergeCell ref="C15:F15"/>
    <mergeCell ref="C5:E5"/>
    <mergeCell ref="B7:B10"/>
    <mergeCell ref="C7:F7"/>
    <mergeCell ref="C8:D8"/>
    <mergeCell ref="C9:D9"/>
    <mergeCell ref="C10:D10"/>
    <mergeCell ref="C13:E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66B93-D9D0-40C4-A961-2B5B795EAFE1}">
  <dimension ref="A1:H39"/>
  <sheetViews>
    <sheetView showGridLines="0" zoomScale="77" zoomScaleNormal="70" workbookViewId="0">
      <selection activeCell="C18" sqref="C18"/>
    </sheetView>
  </sheetViews>
  <sheetFormatPr baseColWidth="10" defaultColWidth="8.83203125" defaultRowHeight="28.5" customHeight="1" x14ac:dyDescent="0.2"/>
  <cols>
    <col min="1" max="1" width="3" style="74" customWidth="1"/>
    <col min="2" max="2" width="24.83203125" style="81" bestFit="1" customWidth="1"/>
    <col min="3" max="3" width="89.5" style="82" customWidth="1"/>
    <col min="4" max="4" width="58.5" style="74" customWidth="1"/>
    <col min="5" max="7" width="8.83203125" style="74"/>
    <col min="8" max="8" width="28" style="76" customWidth="1"/>
    <col min="9" max="16384" width="8.83203125" style="74"/>
  </cols>
  <sheetData>
    <row r="1" spans="1:8" s="69" customFormat="1" ht="28.5" customHeight="1" x14ac:dyDescent="0.2">
      <c r="A1" s="46" t="s">
        <v>10</v>
      </c>
      <c r="B1" s="38"/>
      <c r="C1" s="39"/>
      <c r="D1" s="37"/>
      <c r="E1" s="37"/>
      <c r="F1" s="37"/>
      <c r="H1" s="70"/>
    </row>
    <row r="2" spans="1:8" s="69" customFormat="1" ht="28.5" customHeight="1" x14ac:dyDescent="0.2">
      <c r="A2" s="37"/>
      <c r="B2" s="38"/>
      <c r="C2" s="39"/>
      <c r="D2" s="27"/>
      <c r="E2" s="37"/>
      <c r="F2" s="37"/>
      <c r="H2" s="70"/>
    </row>
    <row r="3" spans="1:8" s="71" customFormat="1" ht="28.5" customHeight="1" x14ac:dyDescent="0.2">
      <c r="A3" s="50"/>
      <c r="B3" s="68" t="s">
        <v>11</v>
      </c>
      <c r="C3" s="64"/>
      <c r="D3" s="49"/>
      <c r="E3" s="50"/>
      <c r="F3" s="50"/>
      <c r="H3" s="72"/>
    </row>
    <row r="4" spans="1:8" s="73" customFormat="1" ht="14" x14ac:dyDescent="0.2">
      <c r="A4" s="51"/>
      <c r="B4" s="53" t="s">
        <v>12</v>
      </c>
      <c r="C4" s="54" t="s">
        <v>13</v>
      </c>
      <c r="D4" s="51"/>
      <c r="E4" s="51"/>
      <c r="F4" s="51"/>
    </row>
    <row r="5" spans="1:8" ht="28.5" customHeight="1" x14ac:dyDescent="0.15">
      <c r="A5" s="49"/>
      <c r="B5" s="55" t="s">
        <v>14</v>
      </c>
      <c r="C5" s="56" t="s">
        <v>15</v>
      </c>
      <c r="D5" s="49"/>
      <c r="E5" s="49"/>
      <c r="F5" s="49"/>
      <c r="H5" s="75"/>
    </row>
    <row r="6" spans="1:8" ht="28.5" customHeight="1" x14ac:dyDescent="0.15">
      <c r="A6" s="49"/>
      <c r="B6" s="55" t="s">
        <v>16</v>
      </c>
      <c r="C6" s="56" t="s">
        <v>17</v>
      </c>
      <c r="D6" s="52"/>
      <c r="E6" s="49"/>
      <c r="F6" s="49"/>
      <c r="H6" s="75"/>
    </row>
    <row r="7" spans="1:8" ht="28.5" customHeight="1" x14ac:dyDescent="0.15">
      <c r="A7" s="49"/>
      <c r="B7" s="55" t="s">
        <v>18</v>
      </c>
      <c r="C7" s="56" t="s">
        <v>19</v>
      </c>
      <c r="D7" s="49"/>
      <c r="E7" s="49"/>
      <c r="F7" s="49"/>
      <c r="H7" s="75"/>
    </row>
    <row r="8" spans="1:8" ht="28.5" customHeight="1" x14ac:dyDescent="0.15">
      <c r="A8" s="49"/>
      <c r="B8" s="55" t="s">
        <v>20</v>
      </c>
      <c r="C8" s="56" t="s">
        <v>21</v>
      </c>
      <c r="D8" s="49"/>
      <c r="E8" s="49"/>
      <c r="F8" s="49"/>
      <c r="H8" s="75"/>
    </row>
    <row r="9" spans="1:8" ht="28.5" customHeight="1" x14ac:dyDescent="0.15">
      <c r="A9" s="49"/>
      <c r="B9" s="55" t="s">
        <v>22</v>
      </c>
      <c r="C9" s="56" t="s">
        <v>23</v>
      </c>
      <c r="D9" s="49"/>
      <c r="E9" s="49"/>
      <c r="F9" s="49"/>
      <c r="H9" s="75"/>
    </row>
    <row r="10" spans="1:8" ht="28.5" customHeight="1" x14ac:dyDescent="0.15">
      <c r="A10" s="49"/>
      <c r="B10" s="55" t="s">
        <v>24</v>
      </c>
      <c r="C10" s="56" t="s">
        <v>25</v>
      </c>
      <c r="D10" s="49"/>
      <c r="E10" s="49"/>
      <c r="F10" s="49"/>
      <c r="H10" s="75"/>
    </row>
    <row r="11" spans="1:8" ht="28.5" customHeight="1" x14ac:dyDescent="0.15">
      <c r="A11" s="49"/>
      <c r="B11" s="55" t="s">
        <v>26</v>
      </c>
      <c r="C11" s="56" t="s">
        <v>27</v>
      </c>
      <c r="D11" s="49"/>
      <c r="E11" s="49"/>
      <c r="F11" s="49"/>
      <c r="H11" s="75"/>
    </row>
    <row r="12" spans="1:8" ht="28.5" customHeight="1" x14ac:dyDescent="0.15">
      <c r="A12" s="49"/>
      <c r="B12" s="55" t="s">
        <v>28</v>
      </c>
      <c r="C12" s="56" t="s">
        <v>29</v>
      </c>
      <c r="D12" s="49"/>
      <c r="E12" s="49"/>
      <c r="F12" s="49"/>
      <c r="H12" s="75"/>
    </row>
    <row r="13" spans="1:8" ht="28.5" customHeight="1" x14ac:dyDescent="0.2">
      <c r="A13" s="49"/>
      <c r="B13" s="55" t="s">
        <v>30</v>
      </c>
      <c r="C13" s="56" t="s">
        <v>31</v>
      </c>
      <c r="D13" s="49"/>
      <c r="E13" s="49"/>
      <c r="F13" s="49"/>
    </row>
    <row r="14" spans="1:8" ht="28.5" customHeight="1" x14ac:dyDescent="0.2">
      <c r="A14" s="49"/>
      <c r="B14" s="55" t="s">
        <v>32</v>
      </c>
      <c r="C14" s="56" t="s">
        <v>33</v>
      </c>
      <c r="D14" s="49"/>
      <c r="E14" s="49"/>
      <c r="F14" s="49"/>
    </row>
    <row r="15" spans="1:8" ht="28.5" customHeight="1" x14ac:dyDescent="0.2">
      <c r="A15" s="49"/>
      <c r="B15" s="55" t="s">
        <v>34</v>
      </c>
      <c r="C15" s="56" t="s">
        <v>35</v>
      </c>
      <c r="D15" s="49"/>
      <c r="E15" s="49"/>
      <c r="F15" s="49"/>
    </row>
    <row r="16" spans="1:8" ht="28.5" customHeight="1" x14ac:dyDescent="0.2">
      <c r="A16" s="49"/>
      <c r="B16" s="55" t="s">
        <v>36</v>
      </c>
      <c r="C16" s="56" t="s">
        <v>37</v>
      </c>
      <c r="D16" s="49"/>
      <c r="E16" s="49"/>
      <c r="F16" s="49"/>
    </row>
    <row r="17" spans="1:8" ht="28.5" customHeight="1" x14ac:dyDescent="0.2">
      <c r="A17" s="49"/>
      <c r="B17" s="55" t="s">
        <v>38</v>
      </c>
      <c r="C17" s="56" t="s">
        <v>1406</v>
      </c>
      <c r="D17" s="49"/>
      <c r="E17" s="49"/>
      <c r="F17" s="49"/>
    </row>
    <row r="18" spans="1:8" ht="70" x14ac:dyDescent="0.2">
      <c r="A18" s="49"/>
      <c r="B18" s="55" t="s">
        <v>39</v>
      </c>
      <c r="C18" s="56" t="s">
        <v>40</v>
      </c>
      <c r="D18" s="49"/>
      <c r="E18" s="49"/>
      <c r="F18" s="49"/>
    </row>
    <row r="19" spans="1:8" ht="28.5" customHeight="1" x14ac:dyDescent="0.15">
      <c r="A19" s="49"/>
      <c r="B19" s="67" t="s">
        <v>41</v>
      </c>
      <c r="C19" s="86"/>
      <c r="D19" s="49"/>
      <c r="E19" s="49"/>
      <c r="F19" s="49"/>
    </row>
    <row r="20" spans="1:8" ht="28.5" customHeight="1" x14ac:dyDescent="0.2">
      <c r="A20" s="49"/>
      <c r="B20" s="57" t="s">
        <v>42</v>
      </c>
      <c r="C20" s="87" t="s">
        <v>43</v>
      </c>
      <c r="D20" s="49"/>
      <c r="E20" s="49"/>
      <c r="F20" s="49"/>
    </row>
    <row r="21" spans="1:8" ht="28.5" customHeight="1" x14ac:dyDescent="0.15">
      <c r="A21" s="49"/>
      <c r="B21" s="58" t="s">
        <v>44</v>
      </c>
      <c r="C21" s="87" t="s">
        <v>45</v>
      </c>
      <c r="D21" s="49"/>
      <c r="E21" s="49"/>
      <c r="F21" s="49"/>
    </row>
    <row r="22" spans="1:8" ht="28.5" customHeight="1" x14ac:dyDescent="0.2">
      <c r="A22" s="49"/>
      <c r="B22" s="59" t="s">
        <v>46</v>
      </c>
      <c r="C22" s="56" t="s">
        <v>47</v>
      </c>
      <c r="D22" s="49"/>
      <c r="E22" s="49"/>
      <c r="F22" s="49"/>
    </row>
    <row r="23" spans="1:8" ht="28.5" customHeight="1" x14ac:dyDescent="0.2">
      <c r="A23" s="49"/>
      <c r="B23" s="60" t="s">
        <v>48</v>
      </c>
      <c r="C23" s="56" t="s">
        <v>49</v>
      </c>
      <c r="D23" s="49"/>
      <c r="E23" s="49"/>
      <c r="F23" s="49"/>
    </row>
    <row r="24" spans="1:8" ht="28.5" customHeight="1" x14ac:dyDescent="0.2">
      <c r="A24" s="49"/>
      <c r="B24" s="61" t="s">
        <v>50</v>
      </c>
      <c r="C24" s="56" t="s">
        <v>51</v>
      </c>
      <c r="D24" s="49"/>
      <c r="E24" s="49"/>
      <c r="F24" s="49"/>
    </row>
    <row r="25" spans="1:8" ht="28.5" customHeight="1" x14ac:dyDescent="0.2">
      <c r="A25" s="49"/>
      <c r="B25" s="62" t="s">
        <v>52</v>
      </c>
      <c r="C25" s="63" t="s">
        <v>53</v>
      </c>
      <c r="D25" s="49"/>
      <c r="E25" s="49"/>
      <c r="F25" s="49"/>
    </row>
    <row r="26" spans="1:8" ht="28.5" customHeight="1" x14ac:dyDescent="0.2">
      <c r="A26" s="49"/>
      <c r="B26" s="47"/>
      <c r="C26" s="48"/>
      <c r="D26" s="49"/>
      <c r="E26" s="49"/>
      <c r="F26" s="49"/>
    </row>
    <row r="27" spans="1:8" ht="28.5" customHeight="1" x14ac:dyDescent="0.2">
      <c r="A27" s="49"/>
      <c r="B27" s="47"/>
      <c r="C27" s="48"/>
      <c r="D27" s="49"/>
      <c r="E27" s="49"/>
      <c r="F27" s="49"/>
    </row>
    <row r="28" spans="1:8" ht="28.5" customHeight="1" x14ac:dyDescent="0.2">
      <c r="A28" s="49"/>
      <c r="B28" s="47"/>
      <c r="C28" s="48"/>
      <c r="D28" s="49"/>
      <c r="E28" s="49"/>
      <c r="F28" s="49"/>
    </row>
    <row r="29" spans="1:8" s="77" customFormat="1" ht="33.75" customHeight="1" x14ac:dyDescent="0.2">
      <c r="A29" s="65"/>
      <c r="B29" s="83" t="s">
        <v>54</v>
      </c>
      <c r="C29" s="84"/>
      <c r="D29" s="85"/>
      <c r="E29" s="65"/>
      <c r="F29" s="65"/>
      <c r="H29" s="78"/>
    </row>
    <row r="30" spans="1:8" s="79" customFormat="1" ht="59.25" customHeight="1" x14ac:dyDescent="0.2">
      <c r="A30" s="66"/>
      <c r="B30" s="106" t="s">
        <v>55</v>
      </c>
      <c r="C30" s="113" t="s">
        <v>56</v>
      </c>
      <c r="D30" s="108" t="s">
        <v>57</v>
      </c>
      <c r="E30" s="66"/>
      <c r="F30" s="66"/>
      <c r="H30" s="80"/>
    </row>
    <row r="31" spans="1:8" s="79" customFormat="1" ht="59.25" customHeight="1" x14ac:dyDescent="0.2">
      <c r="A31" s="66"/>
      <c r="B31" s="107" t="s">
        <v>58</v>
      </c>
      <c r="C31" s="108" t="s">
        <v>59</v>
      </c>
      <c r="D31" s="109" t="s">
        <v>60</v>
      </c>
      <c r="E31" s="66"/>
      <c r="F31" s="66"/>
      <c r="H31" s="80"/>
    </row>
    <row r="32" spans="1:8" s="79" customFormat="1" ht="59.25" customHeight="1" x14ac:dyDescent="0.2">
      <c r="A32" s="66"/>
      <c r="B32" s="110" t="s">
        <v>61</v>
      </c>
      <c r="C32" s="108" t="s">
        <v>62</v>
      </c>
      <c r="D32" s="108" t="s">
        <v>57</v>
      </c>
      <c r="E32" s="66"/>
      <c r="F32" s="66"/>
      <c r="H32" s="80"/>
    </row>
    <row r="33" spans="1:8" s="79" customFormat="1" ht="59.25" customHeight="1" x14ac:dyDescent="0.2">
      <c r="A33" s="66"/>
      <c r="B33" s="111" t="s">
        <v>63</v>
      </c>
      <c r="C33" s="114" t="s">
        <v>64</v>
      </c>
      <c r="D33" s="112" t="s">
        <v>65</v>
      </c>
      <c r="E33" s="66"/>
      <c r="F33" s="66"/>
      <c r="H33" s="80"/>
    </row>
    <row r="34" spans="1:8" ht="28.5" customHeight="1" x14ac:dyDescent="0.2">
      <c r="A34" s="49"/>
      <c r="B34" s="47"/>
      <c r="C34" s="48"/>
      <c r="D34" s="49"/>
      <c r="E34" s="49"/>
      <c r="F34" s="49"/>
    </row>
    <row r="35" spans="1:8" ht="13" x14ac:dyDescent="0.2">
      <c r="A35" s="49"/>
      <c r="B35" s="47"/>
      <c r="C35" s="48"/>
      <c r="D35" s="49"/>
      <c r="E35" s="49"/>
      <c r="F35" s="49"/>
    </row>
    <row r="36" spans="1:8" ht="13" x14ac:dyDescent="0.2">
      <c r="A36" s="49"/>
      <c r="B36" s="47"/>
      <c r="C36" s="48"/>
      <c r="D36" s="49"/>
      <c r="E36" s="49"/>
      <c r="F36" s="49"/>
    </row>
    <row r="37" spans="1:8" ht="13" x14ac:dyDescent="0.2">
      <c r="A37" s="49"/>
      <c r="B37" s="47"/>
      <c r="C37" s="48"/>
      <c r="D37" s="49"/>
      <c r="E37" s="49"/>
      <c r="F37" s="49"/>
    </row>
    <row r="38" spans="1:8" ht="13" x14ac:dyDescent="0.2">
      <c r="A38" s="49"/>
      <c r="B38" s="47"/>
      <c r="C38" s="48"/>
      <c r="D38" s="49"/>
      <c r="E38" s="49"/>
      <c r="F38" s="49"/>
    </row>
    <row r="39" spans="1:8" ht="13" x14ac:dyDescent="0.2">
      <c r="A39" s="49"/>
      <c r="B39" s="47"/>
      <c r="C39" s="48"/>
      <c r="D39" s="49"/>
      <c r="E39" s="49"/>
      <c r="F39" s="49"/>
    </row>
  </sheetData>
  <hyperlinks>
    <hyperlink ref="D31" r:id="rId1" display="https://psiorg.sharepoint.com/:w:/r/sites/ACTWatchLite/Shared%20Documents/2.%20Technical/2.%20Cameroon/Product%20lists/Antipaludiques%20et%20TDR%20enregistres%20-%20Updated%20May%202023.docx?d=we46c47baa9b6481bb41bad7dd7cfa847&amp;csf=1&amp;web=1&amp;e=km2Mcw" xr:uid="{F4050B3D-2E55-4BDE-81C0-4F9CFF2C24FD}"/>
    <hyperlink ref="D33" r:id="rId2" xr:uid="{C5334BA3-CC0A-4442-8CC7-80E7B8CCAC4F}"/>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0D5D6-919E-4B10-A8AE-7C61864833B1}">
  <dimension ref="A1:AM415"/>
  <sheetViews>
    <sheetView topLeftCell="B1" zoomScale="106" zoomScaleNormal="106" workbookViewId="0">
      <selection activeCell="C49" sqref="C49"/>
    </sheetView>
  </sheetViews>
  <sheetFormatPr baseColWidth="10" defaultColWidth="12.5" defaultRowHeight="15" x14ac:dyDescent="0.2"/>
  <cols>
    <col min="1" max="1" width="13.33203125" style="40" bestFit="1" customWidth="1"/>
    <col min="2" max="2" width="40.83203125" style="102" customWidth="1"/>
    <col min="3" max="3" width="60.5" style="102" customWidth="1"/>
    <col min="4" max="4" width="12.5" style="102"/>
    <col min="5" max="6" width="6.5" style="102" bestFit="1" customWidth="1"/>
    <col min="7" max="7" width="16.5" style="102" customWidth="1"/>
    <col min="8" max="8" width="16.6640625" style="40" customWidth="1"/>
    <col min="9" max="9" width="3.33203125" style="88" bestFit="1" customWidth="1"/>
    <col min="10" max="10" width="3.6640625" style="42" bestFit="1" customWidth="1"/>
    <col min="11" max="11" width="5" style="42" bestFit="1" customWidth="1"/>
    <col min="12" max="12" width="5.83203125" style="42" bestFit="1" customWidth="1"/>
    <col min="13" max="13" width="11.6640625" style="40" bestFit="1" customWidth="1"/>
    <col min="14" max="14" width="95.1640625" style="102" bestFit="1" customWidth="1"/>
    <col min="15" max="15" width="12.5" style="88"/>
    <col min="16" max="16" width="18.83203125" style="103" customWidth="1"/>
    <col min="17" max="17" width="12.5" style="42"/>
    <col min="18" max="19" width="12.5" style="102"/>
    <col min="20" max="20" width="16.33203125" style="40" customWidth="1"/>
    <col min="21" max="21" width="12.5" style="42"/>
    <col min="22" max="23" width="16.33203125" style="40" customWidth="1"/>
    <col min="24" max="24" width="19.1640625" style="40" customWidth="1"/>
    <col min="25" max="25" width="17.6640625" style="40" customWidth="1"/>
    <col min="26" max="26" width="36.6640625" style="40" customWidth="1"/>
    <col min="27" max="27" width="12.5" style="40"/>
    <col min="28" max="28" width="33.5" style="40" customWidth="1"/>
    <col min="29" max="35" width="12.5" style="40"/>
    <col min="36" max="36" width="17.5" style="40" customWidth="1"/>
    <col min="37" max="37" width="12.5" style="40"/>
    <col min="38" max="38" width="38.1640625" style="40" customWidth="1"/>
    <col min="39" max="16384" width="12.5" style="40"/>
  </cols>
  <sheetData>
    <row r="1" spans="1:30" x14ac:dyDescent="0.2">
      <c r="A1" s="40" t="s">
        <v>66</v>
      </c>
      <c r="B1" s="88" t="s">
        <v>16</v>
      </c>
      <c r="C1" s="88" t="s">
        <v>18</v>
      </c>
      <c r="D1" s="42" t="s">
        <v>20</v>
      </c>
      <c r="E1" s="42" t="s">
        <v>22</v>
      </c>
      <c r="F1" s="42" t="s">
        <v>24</v>
      </c>
      <c r="G1" s="88" t="s">
        <v>26</v>
      </c>
      <c r="H1" s="42" t="s">
        <v>28</v>
      </c>
      <c r="I1" s="42" t="s">
        <v>30</v>
      </c>
      <c r="J1" s="42" t="s">
        <v>32</v>
      </c>
      <c r="K1" s="42" t="s">
        <v>34</v>
      </c>
      <c r="L1" s="88" t="s">
        <v>36</v>
      </c>
      <c r="M1" s="42" t="s">
        <v>38</v>
      </c>
      <c r="N1" s="42" t="s">
        <v>39</v>
      </c>
      <c r="O1" s="89" t="s">
        <v>42</v>
      </c>
      <c r="P1" s="90" t="s">
        <v>44</v>
      </c>
      <c r="Q1" s="91" t="s">
        <v>46</v>
      </c>
      <c r="R1" s="44" t="s">
        <v>48</v>
      </c>
      <c r="S1" s="92" t="s">
        <v>50</v>
      </c>
      <c r="T1" s="45" t="s">
        <v>52</v>
      </c>
      <c r="U1" s="40"/>
    </row>
    <row r="2" spans="1:30" ht="14" x14ac:dyDescent="0.2">
      <c r="A2" s="40" t="s">
        <v>67</v>
      </c>
      <c r="B2" s="88" t="s">
        <v>68</v>
      </c>
      <c r="C2" s="88" t="s">
        <v>69</v>
      </c>
      <c r="D2" s="42">
        <v>1</v>
      </c>
      <c r="E2" s="42">
        <v>1</v>
      </c>
      <c r="F2" s="42">
        <v>0</v>
      </c>
      <c r="G2" s="88" t="s">
        <v>70</v>
      </c>
      <c r="H2" s="42">
        <v>1</v>
      </c>
      <c r="I2" s="42">
        <v>1</v>
      </c>
      <c r="J2" s="42">
        <v>0</v>
      </c>
      <c r="K2" s="42">
        <v>0</v>
      </c>
      <c r="L2" s="88" t="s">
        <v>71</v>
      </c>
      <c r="M2" s="42">
        <v>1</v>
      </c>
      <c r="N2" s="93" t="s">
        <v>72</v>
      </c>
      <c r="O2" s="94" t="s">
        <v>73</v>
      </c>
      <c r="P2" s="88">
        <v>1006</v>
      </c>
      <c r="Q2" s="88"/>
      <c r="R2" s="40"/>
      <c r="S2" s="40"/>
      <c r="T2" s="88">
        <v>1006</v>
      </c>
      <c r="U2" s="40"/>
    </row>
    <row r="3" spans="1:30" ht="14" x14ac:dyDescent="0.2">
      <c r="A3" s="40" t="s">
        <v>74</v>
      </c>
      <c r="B3" s="88" t="s">
        <v>68</v>
      </c>
      <c r="C3" s="88" t="s">
        <v>75</v>
      </c>
      <c r="D3" s="42">
        <v>1</v>
      </c>
      <c r="E3" s="42">
        <v>1</v>
      </c>
      <c r="F3" s="42">
        <v>0</v>
      </c>
      <c r="G3" s="88" t="s">
        <v>70</v>
      </c>
      <c r="H3" s="42">
        <v>1</v>
      </c>
      <c r="I3" s="42">
        <v>0</v>
      </c>
      <c r="J3" s="42">
        <v>0</v>
      </c>
      <c r="K3" s="42">
        <v>0</v>
      </c>
      <c r="L3" s="88" t="s">
        <v>28</v>
      </c>
      <c r="M3" s="42">
        <v>1</v>
      </c>
      <c r="N3" s="93" t="s">
        <v>72</v>
      </c>
      <c r="O3" s="94" t="s">
        <v>73</v>
      </c>
      <c r="P3" s="88">
        <v>1007</v>
      </c>
      <c r="Q3" s="88"/>
      <c r="R3" s="40"/>
      <c r="S3" s="40"/>
      <c r="T3" s="88">
        <v>1007</v>
      </c>
      <c r="U3" s="40"/>
    </row>
    <row r="4" spans="1:30" ht="14" x14ac:dyDescent="0.2">
      <c r="A4" s="40" t="s">
        <v>76</v>
      </c>
      <c r="B4" s="88" t="s">
        <v>68</v>
      </c>
      <c r="C4" s="88" t="s">
        <v>77</v>
      </c>
      <c r="D4" s="42">
        <v>1</v>
      </c>
      <c r="E4" s="42">
        <v>1</v>
      </c>
      <c r="F4" s="42">
        <v>0</v>
      </c>
      <c r="G4" s="88" t="s">
        <v>70</v>
      </c>
      <c r="H4" s="42">
        <v>1</v>
      </c>
      <c r="I4" s="42">
        <v>0</v>
      </c>
      <c r="J4" s="42">
        <v>1</v>
      </c>
      <c r="K4" s="42">
        <v>0</v>
      </c>
      <c r="L4" s="88" t="s">
        <v>78</v>
      </c>
      <c r="M4" s="42">
        <v>1</v>
      </c>
      <c r="N4" s="93" t="s">
        <v>72</v>
      </c>
      <c r="O4" s="94" t="s">
        <v>73</v>
      </c>
      <c r="P4" s="88">
        <v>1008</v>
      </c>
      <c r="Q4" s="88"/>
      <c r="R4" s="40"/>
      <c r="S4" s="40"/>
      <c r="T4" s="88">
        <v>1008</v>
      </c>
      <c r="U4" s="40"/>
    </row>
    <row r="5" spans="1:30" ht="14" x14ac:dyDescent="0.2">
      <c r="A5" s="40" t="s">
        <v>79</v>
      </c>
      <c r="B5" s="88" t="s">
        <v>68</v>
      </c>
      <c r="C5" s="88" t="s">
        <v>80</v>
      </c>
      <c r="D5" s="42">
        <v>1</v>
      </c>
      <c r="E5" s="42">
        <v>1</v>
      </c>
      <c r="F5" s="42">
        <v>0</v>
      </c>
      <c r="G5" s="88" t="s">
        <v>70</v>
      </c>
      <c r="H5" s="42">
        <v>1</v>
      </c>
      <c r="I5" s="42">
        <v>1</v>
      </c>
      <c r="J5" s="42">
        <v>0</v>
      </c>
      <c r="K5" s="42">
        <v>0</v>
      </c>
      <c r="L5" s="88" t="s">
        <v>71</v>
      </c>
      <c r="M5" s="42">
        <v>1</v>
      </c>
      <c r="N5" s="93" t="s">
        <v>72</v>
      </c>
      <c r="O5" s="94" t="s">
        <v>73</v>
      </c>
      <c r="P5" s="88">
        <v>1009</v>
      </c>
      <c r="Q5" s="88"/>
      <c r="R5" s="40"/>
      <c r="S5" s="40"/>
      <c r="T5" s="88">
        <v>1009</v>
      </c>
      <c r="U5" s="40"/>
    </row>
    <row r="6" spans="1:30" ht="14" x14ac:dyDescent="0.2">
      <c r="A6" s="40" t="s">
        <v>81</v>
      </c>
      <c r="B6" s="88" t="s">
        <v>68</v>
      </c>
      <c r="C6" s="88" t="s">
        <v>82</v>
      </c>
      <c r="D6" s="42">
        <v>1</v>
      </c>
      <c r="E6" s="42">
        <v>0</v>
      </c>
      <c r="F6" s="42">
        <v>0</v>
      </c>
      <c r="G6" s="88" t="s">
        <v>20</v>
      </c>
      <c r="H6" s="42">
        <v>1</v>
      </c>
      <c r="I6" s="42">
        <v>0</v>
      </c>
      <c r="J6" s="42">
        <v>0</v>
      </c>
      <c r="K6" s="42">
        <v>0</v>
      </c>
      <c r="L6" s="88" t="s">
        <v>28</v>
      </c>
      <c r="M6" s="42">
        <v>1</v>
      </c>
      <c r="N6" s="93" t="s">
        <v>72</v>
      </c>
      <c r="O6" s="94" t="s">
        <v>73</v>
      </c>
      <c r="P6" s="88">
        <v>1035</v>
      </c>
      <c r="Q6" s="88"/>
      <c r="R6" s="40"/>
      <c r="S6" s="40"/>
      <c r="T6" s="88">
        <v>1035</v>
      </c>
      <c r="U6" s="40"/>
    </row>
    <row r="7" spans="1:30" ht="14" x14ac:dyDescent="0.2">
      <c r="A7" s="40" t="s">
        <v>83</v>
      </c>
      <c r="B7" s="88" t="s">
        <v>68</v>
      </c>
      <c r="C7" s="88" t="s">
        <v>84</v>
      </c>
      <c r="D7" s="42">
        <v>1</v>
      </c>
      <c r="E7" s="42">
        <v>0</v>
      </c>
      <c r="F7" s="42">
        <v>0</v>
      </c>
      <c r="G7" s="88" t="s">
        <v>20</v>
      </c>
      <c r="H7" s="42">
        <v>1</v>
      </c>
      <c r="I7" s="42">
        <v>0</v>
      </c>
      <c r="J7" s="42">
        <v>0</v>
      </c>
      <c r="K7" s="42">
        <v>0</v>
      </c>
      <c r="L7" s="95" t="s">
        <v>28</v>
      </c>
      <c r="M7" s="42">
        <v>0</v>
      </c>
      <c r="N7" s="93" t="s">
        <v>72</v>
      </c>
      <c r="O7" s="96" t="s">
        <v>85</v>
      </c>
      <c r="P7" s="95" t="s">
        <v>86</v>
      </c>
      <c r="Q7" s="95">
        <v>8291701</v>
      </c>
      <c r="R7" s="95"/>
      <c r="S7" s="40"/>
      <c r="T7" s="88">
        <v>1055</v>
      </c>
      <c r="U7" s="40"/>
    </row>
    <row r="8" spans="1:30" ht="14" x14ac:dyDescent="0.2">
      <c r="A8" s="40" t="s">
        <v>87</v>
      </c>
      <c r="B8" s="88" t="s">
        <v>88</v>
      </c>
      <c r="C8" s="88" t="s">
        <v>89</v>
      </c>
      <c r="D8" s="42">
        <v>1</v>
      </c>
      <c r="E8" s="42">
        <v>1</v>
      </c>
      <c r="F8" s="42">
        <v>0</v>
      </c>
      <c r="G8" s="88" t="s">
        <v>70</v>
      </c>
      <c r="H8" s="42">
        <v>1</v>
      </c>
      <c r="I8" s="42">
        <v>0</v>
      </c>
      <c r="J8" s="42">
        <v>1</v>
      </c>
      <c r="K8" s="42">
        <v>0</v>
      </c>
      <c r="L8" s="88" t="s">
        <v>78</v>
      </c>
      <c r="M8" s="42">
        <v>0</v>
      </c>
      <c r="N8" s="93" t="s">
        <v>72</v>
      </c>
      <c r="O8" s="96" t="s">
        <v>85</v>
      </c>
      <c r="P8" s="95" t="s">
        <v>86</v>
      </c>
      <c r="Q8" s="95">
        <v>8281704</v>
      </c>
      <c r="R8" s="95"/>
      <c r="S8" s="40"/>
      <c r="T8" s="88">
        <v>1051</v>
      </c>
      <c r="U8" s="40"/>
    </row>
    <row r="9" spans="1:30" ht="14" x14ac:dyDescent="0.2">
      <c r="A9" s="40" t="s">
        <v>90</v>
      </c>
      <c r="B9" s="88" t="s">
        <v>91</v>
      </c>
      <c r="C9" s="88" t="s">
        <v>92</v>
      </c>
      <c r="D9" s="42">
        <v>1</v>
      </c>
      <c r="E9" s="42">
        <v>0</v>
      </c>
      <c r="F9" s="42">
        <v>0</v>
      </c>
      <c r="G9" s="88" t="s">
        <v>20</v>
      </c>
      <c r="H9" s="42">
        <v>1</v>
      </c>
      <c r="I9" s="42">
        <v>0</v>
      </c>
      <c r="J9" s="42">
        <v>0</v>
      </c>
      <c r="K9" s="42">
        <v>0</v>
      </c>
      <c r="L9" s="88" t="s">
        <v>28</v>
      </c>
      <c r="M9" s="42">
        <v>0</v>
      </c>
      <c r="N9" s="93" t="s">
        <v>72</v>
      </c>
      <c r="O9" s="94" t="s">
        <v>73</v>
      </c>
      <c r="P9" s="88">
        <v>1010</v>
      </c>
      <c r="Q9" s="88"/>
      <c r="R9" s="40"/>
      <c r="S9" s="40"/>
      <c r="T9" s="88">
        <v>1010</v>
      </c>
      <c r="U9" s="40"/>
      <c r="AD9" s="97"/>
    </row>
    <row r="10" spans="1:30" ht="14" x14ac:dyDescent="0.2">
      <c r="A10" s="40" t="s">
        <v>93</v>
      </c>
      <c r="B10" s="88" t="s">
        <v>91</v>
      </c>
      <c r="C10" s="88" t="s">
        <v>94</v>
      </c>
      <c r="D10" s="42">
        <v>1</v>
      </c>
      <c r="E10" s="42">
        <v>1</v>
      </c>
      <c r="F10" s="42">
        <v>0</v>
      </c>
      <c r="G10" s="88" t="s">
        <v>70</v>
      </c>
      <c r="H10" s="42">
        <v>1</v>
      </c>
      <c r="I10" s="42">
        <v>0</v>
      </c>
      <c r="J10" s="42">
        <v>0</v>
      </c>
      <c r="K10" s="42">
        <v>0</v>
      </c>
      <c r="L10" s="88" t="s">
        <v>28</v>
      </c>
      <c r="M10" s="42">
        <v>0</v>
      </c>
      <c r="N10" s="93" t="s">
        <v>72</v>
      </c>
      <c r="O10" s="94" t="s">
        <v>73</v>
      </c>
      <c r="P10" s="88">
        <v>1011</v>
      </c>
      <c r="Q10" s="88"/>
      <c r="R10" s="40"/>
      <c r="S10" s="40"/>
      <c r="T10" s="88">
        <v>1011</v>
      </c>
      <c r="U10" s="40"/>
    </row>
    <row r="11" spans="1:30" ht="14" x14ac:dyDescent="0.2">
      <c r="A11" s="40" t="s">
        <v>95</v>
      </c>
      <c r="B11" s="88" t="s">
        <v>91</v>
      </c>
      <c r="C11" s="88" t="s">
        <v>96</v>
      </c>
      <c r="D11" s="42">
        <v>1</v>
      </c>
      <c r="E11" s="42">
        <v>1</v>
      </c>
      <c r="F11" s="42">
        <v>0</v>
      </c>
      <c r="G11" s="88" t="s">
        <v>70</v>
      </c>
      <c r="H11" s="42">
        <v>1</v>
      </c>
      <c r="I11" s="42">
        <v>0</v>
      </c>
      <c r="J11" s="42">
        <v>1</v>
      </c>
      <c r="K11" s="42">
        <v>0</v>
      </c>
      <c r="L11" s="88" t="s">
        <v>78</v>
      </c>
      <c r="M11" s="42">
        <v>0</v>
      </c>
      <c r="N11" s="93" t="s">
        <v>72</v>
      </c>
      <c r="O11" s="94" t="s">
        <v>73</v>
      </c>
      <c r="P11" s="88">
        <v>1012</v>
      </c>
      <c r="Q11" s="88"/>
      <c r="R11" s="40"/>
      <c r="S11" s="40"/>
      <c r="T11" s="88">
        <v>1012</v>
      </c>
      <c r="U11" s="40"/>
    </row>
    <row r="12" spans="1:30" ht="14" x14ac:dyDescent="0.2">
      <c r="A12" s="40" t="s">
        <v>97</v>
      </c>
      <c r="B12" s="88" t="s">
        <v>91</v>
      </c>
      <c r="C12" s="88" t="s">
        <v>98</v>
      </c>
      <c r="D12" s="42">
        <v>1</v>
      </c>
      <c r="E12" s="42">
        <v>1</v>
      </c>
      <c r="F12" s="42">
        <v>0</v>
      </c>
      <c r="G12" s="88" t="s">
        <v>70</v>
      </c>
      <c r="H12" s="42">
        <v>1</v>
      </c>
      <c r="I12" s="42">
        <v>1</v>
      </c>
      <c r="J12" s="42">
        <v>0</v>
      </c>
      <c r="K12" s="42">
        <v>0</v>
      </c>
      <c r="L12" s="88" t="s">
        <v>71</v>
      </c>
      <c r="M12" s="42">
        <v>0</v>
      </c>
      <c r="N12" s="93" t="s">
        <v>72</v>
      </c>
      <c r="O12" s="94" t="s">
        <v>73</v>
      </c>
      <c r="P12" s="88">
        <v>1013</v>
      </c>
      <c r="Q12" s="88"/>
      <c r="R12" s="40"/>
      <c r="S12" s="40"/>
      <c r="T12" s="88">
        <v>1013</v>
      </c>
      <c r="U12" s="40"/>
    </row>
    <row r="13" spans="1:30" ht="14" x14ac:dyDescent="0.2">
      <c r="A13" s="40" t="s">
        <v>99</v>
      </c>
      <c r="B13" s="88" t="s">
        <v>91</v>
      </c>
      <c r="C13" s="88" t="s">
        <v>100</v>
      </c>
      <c r="D13" s="42">
        <v>1</v>
      </c>
      <c r="E13" s="42">
        <v>1</v>
      </c>
      <c r="F13" s="42">
        <v>0</v>
      </c>
      <c r="G13" s="88" t="s">
        <v>70</v>
      </c>
      <c r="H13" s="42">
        <v>1</v>
      </c>
      <c r="I13" s="42">
        <v>0</v>
      </c>
      <c r="J13" s="42">
        <v>0</v>
      </c>
      <c r="K13" s="42">
        <v>0</v>
      </c>
      <c r="L13" s="88" t="s">
        <v>28</v>
      </c>
      <c r="M13" s="42">
        <v>0</v>
      </c>
      <c r="N13" s="93" t="s">
        <v>72</v>
      </c>
      <c r="O13" s="94" t="s">
        <v>73</v>
      </c>
      <c r="P13" s="88">
        <v>1014</v>
      </c>
      <c r="Q13" s="88"/>
      <c r="R13" s="40"/>
      <c r="S13" s="40"/>
      <c r="T13" s="88">
        <v>1014</v>
      </c>
      <c r="U13" s="40"/>
    </row>
    <row r="14" spans="1:30" ht="14" x14ac:dyDescent="0.2">
      <c r="A14" s="40" t="s">
        <v>101</v>
      </c>
      <c r="B14" s="88" t="s">
        <v>91</v>
      </c>
      <c r="C14" s="88" t="s">
        <v>102</v>
      </c>
      <c r="D14" s="42">
        <v>0</v>
      </c>
      <c r="E14" s="42">
        <v>1</v>
      </c>
      <c r="F14" s="42">
        <v>0</v>
      </c>
      <c r="G14" s="88" t="s">
        <v>22</v>
      </c>
      <c r="H14" s="42">
        <v>1</v>
      </c>
      <c r="I14" s="42">
        <v>0</v>
      </c>
      <c r="J14" s="42">
        <v>1</v>
      </c>
      <c r="K14" s="42">
        <v>0</v>
      </c>
      <c r="L14" s="88" t="s">
        <v>78</v>
      </c>
      <c r="M14" s="42">
        <v>0</v>
      </c>
      <c r="N14" s="93" t="s">
        <v>72</v>
      </c>
      <c r="O14" s="94" t="s">
        <v>73</v>
      </c>
      <c r="P14" s="88">
        <v>1015</v>
      </c>
      <c r="Q14" s="88"/>
      <c r="R14" s="40"/>
      <c r="S14" s="40"/>
      <c r="T14" s="88">
        <v>1015</v>
      </c>
      <c r="U14" s="40"/>
    </row>
    <row r="15" spans="1:30" ht="14" x14ac:dyDescent="0.2">
      <c r="A15" s="40" t="s">
        <v>103</v>
      </c>
      <c r="B15" s="88" t="s">
        <v>91</v>
      </c>
      <c r="C15" s="88" t="s">
        <v>104</v>
      </c>
      <c r="D15" s="42">
        <v>1</v>
      </c>
      <c r="E15" s="42">
        <v>1</v>
      </c>
      <c r="F15" s="42">
        <v>0</v>
      </c>
      <c r="G15" s="88" t="s">
        <v>70</v>
      </c>
      <c r="H15" s="42">
        <v>1</v>
      </c>
      <c r="I15" s="42">
        <v>0</v>
      </c>
      <c r="J15" s="42">
        <v>0</v>
      </c>
      <c r="K15" s="42">
        <v>1</v>
      </c>
      <c r="L15" s="88" t="s">
        <v>105</v>
      </c>
      <c r="M15" s="42">
        <v>0</v>
      </c>
      <c r="N15" s="93" t="s">
        <v>72</v>
      </c>
      <c r="O15" s="94" t="s">
        <v>73</v>
      </c>
      <c r="P15" s="88">
        <v>1016</v>
      </c>
      <c r="Q15" s="88"/>
      <c r="R15" s="40"/>
      <c r="S15" s="40"/>
      <c r="T15" s="88">
        <v>1016</v>
      </c>
      <c r="U15" s="40"/>
    </row>
    <row r="16" spans="1:30" ht="14" x14ac:dyDescent="0.2">
      <c r="A16" s="40" t="s">
        <v>106</v>
      </c>
      <c r="B16" s="88" t="s">
        <v>91</v>
      </c>
      <c r="C16" s="88" t="s">
        <v>107</v>
      </c>
      <c r="D16" s="42">
        <v>0</v>
      </c>
      <c r="E16" s="42">
        <v>1</v>
      </c>
      <c r="F16" s="42">
        <v>0</v>
      </c>
      <c r="G16" s="88" t="s">
        <v>22</v>
      </c>
      <c r="H16" s="42">
        <v>0</v>
      </c>
      <c r="I16" s="42">
        <v>0</v>
      </c>
      <c r="J16" s="42">
        <v>1</v>
      </c>
      <c r="K16" s="42">
        <v>0</v>
      </c>
      <c r="L16" s="88" t="s">
        <v>32</v>
      </c>
      <c r="M16" s="42">
        <v>0</v>
      </c>
      <c r="N16" s="93" t="s">
        <v>72</v>
      </c>
      <c r="O16" s="94" t="s">
        <v>108</v>
      </c>
      <c r="P16" s="88">
        <v>1017</v>
      </c>
      <c r="Q16" s="40" t="s">
        <v>109</v>
      </c>
      <c r="R16" s="40"/>
      <c r="S16" s="40"/>
      <c r="T16" s="88">
        <v>1017</v>
      </c>
      <c r="U16" s="40"/>
    </row>
    <row r="17" spans="1:21" ht="14" x14ac:dyDescent="0.2">
      <c r="A17" s="40" t="s">
        <v>110</v>
      </c>
      <c r="B17" s="88" t="s">
        <v>111</v>
      </c>
      <c r="C17" s="88" t="s">
        <v>112</v>
      </c>
      <c r="D17" s="42">
        <v>1</v>
      </c>
      <c r="E17" s="42">
        <v>0</v>
      </c>
      <c r="F17" s="42">
        <v>0</v>
      </c>
      <c r="G17" s="88" t="s">
        <v>20</v>
      </c>
      <c r="H17" s="42">
        <v>1</v>
      </c>
      <c r="I17" s="42">
        <v>0</v>
      </c>
      <c r="J17" s="42">
        <v>0</v>
      </c>
      <c r="K17" s="42">
        <v>0</v>
      </c>
      <c r="L17" s="88" t="s">
        <v>28</v>
      </c>
      <c r="M17" s="42">
        <v>1</v>
      </c>
      <c r="N17" s="93" t="s">
        <v>72</v>
      </c>
      <c r="O17" s="94" t="s">
        <v>73</v>
      </c>
      <c r="P17" s="88">
        <v>1001</v>
      </c>
      <c r="Q17" s="88"/>
      <c r="R17" s="40"/>
      <c r="S17" s="40"/>
      <c r="T17" s="88">
        <v>1001</v>
      </c>
      <c r="U17" s="40"/>
    </row>
    <row r="18" spans="1:21" ht="14" x14ac:dyDescent="0.2">
      <c r="A18" s="40" t="s">
        <v>113</v>
      </c>
      <c r="B18" s="88" t="s">
        <v>111</v>
      </c>
      <c r="C18" s="88" t="s">
        <v>114</v>
      </c>
      <c r="D18" s="42">
        <v>1</v>
      </c>
      <c r="E18" s="42">
        <v>1</v>
      </c>
      <c r="F18" s="42">
        <v>0</v>
      </c>
      <c r="G18" s="88" t="s">
        <v>70</v>
      </c>
      <c r="H18" s="42">
        <v>1</v>
      </c>
      <c r="I18" s="42">
        <v>0</v>
      </c>
      <c r="J18" s="42">
        <v>0</v>
      </c>
      <c r="K18" s="42">
        <v>0</v>
      </c>
      <c r="L18" s="88" t="s">
        <v>28</v>
      </c>
      <c r="M18" s="42">
        <v>0</v>
      </c>
      <c r="N18" s="93" t="s">
        <v>72</v>
      </c>
      <c r="O18" s="94" t="s">
        <v>73</v>
      </c>
      <c r="P18" s="88">
        <v>1023</v>
      </c>
      <c r="Q18" s="88"/>
      <c r="R18" s="98"/>
      <c r="S18" s="40"/>
      <c r="T18" s="88">
        <v>1023</v>
      </c>
      <c r="U18" s="40"/>
    </row>
    <row r="19" spans="1:21" ht="14" x14ac:dyDescent="0.2">
      <c r="A19" s="40" t="s">
        <v>115</v>
      </c>
      <c r="B19" s="88" t="s">
        <v>111</v>
      </c>
      <c r="C19" s="88" t="s">
        <v>116</v>
      </c>
      <c r="D19" s="42">
        <v>0</v>
      </c>
      <c r="E19" s="42">
        <v>1</v>
      </c>
      <c r="F19" s="42">
        <v>0</v>
      </c>
      <c r="G19" s="88" t="s">
        <v>22</v>
      </c>
      <c r="H19" s="42">
        <v>1</v>
      </c>
      <c r="I19" s="42">
        <v>0</v>
      </c>
      <c r="J19" s="42">
        <v>0</v>
      </c>
      <c r="K19" s="42">
        <v>0</v>
      </c>
      <c r="L19" s="88" t="s">
        <v>28</v>
      </c>
      <c r="M19" s="42">
        <v>0</v>
      </c>
      <c r="N19" s="93" t="s">
        <v>72</v>
      </c>
      <c r="O19" s="94" t="s">
        <v>73</v>
      </c>
      <c r="P19" s="88">
        <v>1024</v>
      </c>
      <c r="Q19" s="88"/>
      <c r="R19" s="98"/>
      <c r="S19" s="95"/>
      <c r="T19" s="88">
        <v>1024</v>
      </c>
      <c r="U19" s="40"/>
    </row>
    <row r="20" spans="1:21" ht="14" x14ac:dyDescent="0.2">
      <c r="A20" s="40" t="s">
        <v>117</v>
      </c>
      <c r="B20" s="88" t="s">
        <v>118</v>
      </c>
      <c r="C20" s="88" t="s">
        <v>119</v>
      </c>
      <c r="D20" s="42">
        <v>1</v>
      </c>
      <c r="E20" s="42">
        <v>0</v>
      </c>
      <c r="F20" s="42">
        <v>0</v>
      </c>
      <c r="G20" s="88" t="s">
        <v>20</v>
      </c>
      <c r="H20" s="42">
        <v>1</v>
      </c>
      <c r="I20" s="42">
        <v>0</v>
      </c>
      <c r="J20" s="42">
        <v>0</v>
      </c>
      <c r="K20" s="42">
        <v>0</v>
      </c>
      <c r="L20" s="88" t="s">
        <v>28</v>
      </c>
      <c r="M20" s="42">
        <v>1</v>
      </c>
      <c r="N20" s="93" t="s">
        <v>72</v>
      </c>
      <c r="O20" s="94" t="s">
        <v>73</v>
      </c>
      <c r="P20" s="88">
        <v>1040</v>
      </c>
      <c r="Q20" s="88"/>
      <c r="R20" s="40"/>
      <c r="S20" s="40"/>
      <c r="T20" s="88">
        <v>1040</v>
      </c>
      <c r="U20" s="40"/>
    </row>
    <row r="21" spans="1:21" ht="14" x14ac:dyDescent="0.2">
      <c r="A21" s="40" t="s">
        <v>120</v>
      </c>
      <c r="B21" s="95" t="s">
        <v>118</v>
      </c>
      <c r="C21" s="99" t="s">
        <v>119</v>
      </c>
      <c r="D21" s="42">
        <v>1</v>
      </c>
      <c r="E21" s="42">
        <v>0</v>
      </c>
      <c r="F21" s="42">
        <v>0</v>
      </c>
      <c r="G21" s="95" t="s">
        <v>20</v>
      </c>
      <c r="H21" s="42">
        <v>1</v>
      </c>
      <c r="I21" s="42">
        <v>0</v>
      </c>
      <c r="J21" s="42">
        <v>0</v>
      </c>
      <c r="K21" s="42">
        <v>0</v>
      </c>
      <c r="L21" s="95" t="s">
        <v>121</v>
      </c>
      <c r="M21" s="42">
        <v>0</v>
      </c>
      <c r="N21" s="93" t="s">
        <v>72</v>
      </c>
      <c r="O21" s="94" t="s">
        <v>122</v>
      </c>
      <c r="P21" s="40" t="s">
        <v>86</v>
      </c>
      <c r="Q21" s="40" t="s">
        <v>86</v>
      </c>
      <c r="R21" s="95" t="s">
        <v>123</v>
      </c>
      <c r="S21" s="40" t="s">
        <v>86</v>
      </c>
      <c r="T21" s="95" t="s">
        <v>124</v>
      </c>
      <c r="U21" s="40"/>
    </row>
    <row r="22" spans="1:21" ht="14" x14ac:dyDescent="0.2">
      <c r="A22" s="40" t="s">
        <v>125</v>
      </c>
      <c r="B22" s="88" t="s">
        <v>126</v>
      </c>
      <c r="C22" s="88" t="s">
        <v>127</v>
      </c>
      <c r="D22" s="42">
        <v>1</v>
      </c>
      <c r="E22" s="42">
        <v>1</v>
      </c>
      <c r="F22" s="42">
        <v>0</v>
      </c>
      <c r="G22" s="88" t="s">
        <v>70</v>
      </c>
      <c r="H22" s="42">
        <v>1</v>
      </c>
      <c r="I22" s="42">
        <v>1</v>
      </c>
      <c r="J22" s="42">
        <v>0</v>
      </c>
      <c r="K22" s="42">
        <v>0</v>
      </c>
      <c r="L22" s="88" t="s">
        <v>71</v>
      </c>
      <c r="M22" s="42">
        <v>0</v>
      </c>
      <c r="N22" s="93" t="s">
        <v>72</v>
      </c>
      <c r="O22" s="94" t="s">
        <v>73</v>
      </c>
      <c r="P22" s="88">
        <v>1002</v>
      </c>
      <c r="Q22" s="88"/>
      <c r="R22" s="40"/>
      <c r="S22" s="40"/>
      <c r="T22" s="88">
        <v>1002</v>
      </c>
      <c r="U22" s="40"/>
    </row>
    <row r="23" spans="1:21" ht="14" x14ac:dyDescent="0.2">
      <c r="A23" s="40" t="s">
        <v>128</v>
      </c>
      <c r="B23" s="88" t="s">
        <v>129</v>
      </c>
      <c r="C23" s="88" t="s">
        <v>130</v>
      </c>
      <c r="D23" s="42">
        <v>1</v>
      </c>
      <c r="E23" s="42">
        <v>1</v>
      </c>
      <c r="F23" s="42">
        <v>0</v>
      </c>
      <c r="G23" s="88" t="s">
        <v>70</v>
      </c>
      <c r="H23" s="42">
        <v>1</v>
      </c>
      <c r="I23" s="42">
        <v>0</v>
      </c>
      <c r="J23" s="42">
        <v>1</v>
      </c>
      <c r="K23" s="42">
        <v>0</v>
      </c>
      <c r="L23" s="88" t="s">
        <v>78</v>
      </c>
      <c r="M23" s="42">
        <v>0</v>
      </c>
      <c r="N23" s="93" t="s">
        <v>72</v>
      </c>
      <c r="O23" s="94" t="s">
        <v>73</v>
      </c>
      <c r="P23" s="88">
        <v>1021</v>
      </c>
      <c r="Q23" s="88"/>
      <c r="R23" s="98"/>
      <c r="S23" s="40"/>
      <c r="T23" s="88">
        <v>1021</v>
      </c>
      <c r="U23" s="40"/>
    </row>
    <row r="24" spans="1:21" ht="14" x14ac:dyDescent="0.2">
      <c r="A24" s="40" t="s">
        <v>131</v>
      </c>
      <c r="B24" s="95" t="s">
        <v>132</v>
      </c>
      <c r="C24" s="99" t="s">
        <v>133</v>
      </c>
      <c r="D24" s="42">
        <v>1</v>
      </c>
      <c r="E24" s="42">
        <v>1</v>
      </c>
      <c r="F24" s="42">
        <v>0</v>
      </c>
      <c r="G24" s="95" t="s">
        <v>134</v>
      </c>
      <c r="H24" s="42">
        <v>1</v>
      </c>
      <c r="I24" s="42">
        <v>0</v>
      </c>
      <c r="J24" s="42">
        <v>1</v>
      </c>
      <c r="K24" s="42">
        <v>0</v>
      </c>
      <c r="L24" s="95" t="s">
        <v>135</v>
      </c>
      <c r="M24" s="42">
        <v>0</v>
      </c>
      <c r="N24" s="93" t="s">
        <v>72</v>
      </c>
      <c r="O24" s="94" t="s">
        <v>122</v>
      </c>
      <c r="P24" s="40" t="s">
        <v>86</v>
      </c>
      <c r="Q24" s="40" t="s">
        <v>86</v>
      </c>
      <c r="R24" s="95" t="s">
        <v>136</v>
      </c>
      <c r="S24" s="40" t="s">
        <v>86</v>
      </c>
      <c r="T24" s="95" t="s">
        <v>137</v>
      </c>
      <c r="U24" s="40"/>
    </row>
    <row r="25" spans="1:21" ht="14" x14ac:dyDescent="0.2">
      <c r="A25" s="40" t="s">
        <v>138</v>
      </c>
      <c r="B25" s="95" t="s">
        <v>132</v>
      </c>
      <c r="C25" s="99" t="s">
        <v>139</v>
      </c>
      <c r="D25" s="42">
        <v>1</v>
      </c>
      <c r="E25" s="42">
        <v>1</v>
      </c>
      <c r="F25" s="42">
        <v>0</v>
      </c>
      <c r="G25" s="95" t="s">
        <v>134</v>
      </c>
      <c r="H25" s="42">
        <v>1</v>
      </c>
      <c r="I25" s="100">
        <v>1</v>
      </c>
      <c r="J25" s="42">
        <v>0</v>
      </c>
      <c r="K25" s="42">
        <v>0</v>
      </c>
      <c r="L25" s="95" t="s">
        <v>140</v>
      </c>
      <c r="M25" s="42">
        <v>0</v>
      </c>
      <c r="N25" s="93" t="s">
        <v>72</v>
      </c>
      <c r="O25" s="94" t="s">
        <v>122</v>
      </c>
      <c r="P25" s="40" t="s">
        <v>86</v>
      </c>
      <c r="Q25" s="40" t="s">
        <v>86</v>
      </c>
      <c r="R25" s="95" t="s">
        <v>141</v>
      </c>
      <c r="S25" s="40" t="s">
        <v>86</v>
      </c>
      <c r="T25" s="95" t="s">
        <v>142</v>
      </c>
      <c r="U25" s="40"/>
    </row>
    <row r="26" spans="1:21" ht="14" x14ac:dyDescent="0.2">
      <c r="A26" s="40" t="s">
        <v>143</v>
      </c>
      <c r="B26" s="88" t="s">
        <v>144</v>
      </c>
      <c r="C26" s="88" t="s">
        <v>145</v>
      </c>
      <c r="D26" s="42">
        <v>1</v>
      </c>
      <c r="E26" s="42">
        <v>1</v>
      </c>
      <c r="F26" s="42">
        <v>0</v>
      </c>
      <c r="G26" s="88" t="s">
        <v>70</v>
      </c>
      <c r="H26" s="42">
        <v>1</v>
      </c>
      <c r="I26" s="42">
        <v>0</v>
      </c>
      <c r="J26" s="42">
        <v>1</v>
      </c>
      <c r="K26" s="42">
        <v>0</v>
      </c>
      <c r="L26" s="88" t="s">
        <v>78</v>
      </c>
      <c r="M26" s="42">
        <v>0</v>
      </c>
      <c r="N26" s="93" t="s">
        <v>72</v>
      </c>
      <c r="O26" s="96" t="s">
        <v>85</v>
      </c>
      <c r="P26" s="95" t="s">
        <v>86</v>
      </c>
      <c r="Q26" s="95">
        <v>9490101</v>
      </c>
      <c r="R26" s="95"/>
      <c r="S26" s="40"/>
      <c r="T26" s="88">
        <v>1054</v>
      </c>
      <c r="U26" s="40"/>
    </row>
    <row r="27" spans="1:21" ht="14" x14ac:dyDescent="0.2">
      <c r="A27" s="40" t="s">
        <v>146</v>
      </c>
      <c r="B27" s="88" t="s">
        <v>147</v>
      </c>
      <c r="C27" s="88" t="s">
        <v>148</v>
      </c>
      <c r="D27" s="42">
        <v>1</v>
      </c>
      <c r="E27" s="42">
        <v>1</v>
      </c>
      <c r="F27" s="42">
        <v>0</v>
      </c>
      <c r="G27" s="88" t="s">
        <v>70</v>
      </c>
      <c r="H27" s="42">
        <v>1</v>
      </c>
      <c r="I27" s="42">
        <v>0</v>
      </c>
      <c r="J27" s="42">
        <v>0</v>
      </c>
      <c r="K27" s="42">
        <v>0</v>
      </c>
      <c r="L27" s="88" t="s">
        <v>28</v>
      </c>
      <c r="M27" s="42">
        <v>1</v>
      </c>
      <c r="N27" s="93" t="s">
        <v>72</v>
      </c>
      <c r="O27" s="94" t="s">
        <v>149</v>
      </c>
      <c r="P27" s="88"/>
      <c r="Q27" s="88"/>
      <c r="R27" s="40"/>
      <c r="S27" s="40"/>
      <c r="T27" s="88" t="s">
        <v>150</v>
      </c>
      <c r="U27" s="40"/>
    </row>
    <row r="28" spans="1:21" ht="14" x14ac:dyDescent="0.2">
      <c r="A28" s="40" t="s">
        <v>151</v>
      </c>
      <c r="B28" s="95" t="s">
        <v>152</v>
      </c>
      <c r="C28" s="99" t="s">
        <v>153</v>
      </c>
      <c r="D28" s="42">
        <v>1</v>
      </c>
      <c r="E28" s="42">
        <v>1</v>
      </c>
      <c r="F28" s="42">
        <v>0</v>
      </c>
      <c r="G28" s="95" t="s">
        <v>134</v>
      </c>
      <c r="H28" s="42">
        <v>1</v>
      </c>
      <c r="I28" s="42">
        <v>1</v>
      </c>
      <c r="J28" s="42">
        <v>0</v>
      </c>
      <c r="K28" s="42">
        <v>0</v>
      </c>
      <c r="L28" s="40" t="s">
        <v>71</v>
      </c>
      <c r="M28" s="42">
        <v>0</v>
      </c>
      <c r="N28" s="93" t="s">
        <v>72</v>
      </c>
      <c r="O28" s="94" t="s">
        <v>154</v>
      </c>
      <c r="P28" s="40" t="s">
        <v>86</v>
      </c>
      <c r="Q28" s="40" t="s">
        <v>86</v>
      </c>
      <c r="R28" s="40" t="s">
        <v>86</v>
      </c>
      <c r="S28" s="95" t="s">
        <v>155</v>
      </c>
      <c r="T28" s="40" t="s">
        <v>156</v>
      </c>
      <c r="U28" s="40"/>
    </row>
    <row r="29" spans="1:21" ht="14" x14ac:dyDescent="0.2">
      <c r="A29" s="40" t="s">
        <v>157</v>
      </c>
      <c r="B29" s="88" t="s">
        <v>152</v>
      </c>
      <c r="C29" s="88" t="s">
        <v>158</v>
      </c>
      <c r="D29" s="42">
        <v>1</v>
      </c>
      <c r="E29" s="42">
        <v>0</v>
      </c>
      <c r="F29" s="42">
        <v>1</v>
      </c>
      <c r="G29" s="88" t="s">
        <v>159</v>
      </c>
      <c r="H29" s="42">
        <v>1</v>
      </c>
      <c r="I29" s="42">
        <v>0</v>
      </c>
      <c r="J29" s="42">
        <v>1</v>
      </c>
      <c r="K29" s="42">
        <v>0</v>
      </c>
      <c r="L29" s="88" t="s">
        <v>78</v>
      </c>
      <c r="M29" s="42">
        <v>0</v>
      </c>
      <c r="N29" s="93" t="s">
        <v>72</v>
      </c>
      <c r="O29" s="94" t="s">
        <v>73</v>
      </c>
      <c r="P29" s="88">
        <v>1032</v>
      </c>
      <c r="Q29" s="88"/>
      <c r="R29" s="40"/>
      <c r="S29" s="40"/>
      <c r="T29" s="88">
        <v>1032</v>
      </c>
      <c r="U29" s="40"/>
    </row>
    <row r="30" spans="1:21" ht="14" x14ac:dyDescent="0.2">
      <c r="A30" s="40" t="s">
        <v>160</v>
      </c>
      <c r="B30" s="88" t="s">
        <v>161</v>
      </c>
      <c r="C30" s="88" t="s">
        <v>162</v>
      </c>
      <c r="D30" s="42">
        <v>1</v>
      </c>
      <c r="E30" s="42">
        <v>1</v>
      </c>
      <c r="F30" s="42">
        <v>0</v>
      </c>
      <c r="G30" s="88" t="s">
        <v>70</v>
      </c>
      <c r="H30" s="42">
        <v>1</v>
      </c>
      <c r="I30" s="42">
        <v>0</v>
      </c>
      <c r="J30" s="42">
        <v>1</v>
      </c>
      <c r="K30" s="42">
        <v>0</v>
      </c>
      <c r="L30" s="88" t="s">
        <v>78</v>
      </c>
      <c r="M30" s="42">
        <v>0</v>
      </c>
      <c r="N30" s="93" t="s">
        <v>72</v>
      </c>
      <c r="O30" s="94" t="s">
        <v>163</v>
      </c>
      <c r="P30" s="88">
        <v>1029</v>
      </c>
      <c r="Q30" s="88"/>
      <c r="R30" s="40"/>
      <c r="S30" s="101" t="s">
        <v>164</v>
      </c>
      <c r="T30" s="88">
        <v>1029</v>
      </c>
      <c r="U30" s="40"/>
    </row>
    <row r="31" spans="1:21" ht="14" x14ac:dyDescent="0.2">
      <c r="A31" s="40" t="s">
        <v>165</v>
      </c>
      <c r="B31" s="88" t="s">
        <v>161</v>
      </c>
      <c r="C31" s="88" t="s">
        <v>166</v>
      </c>
      <c r="D31" s="42">
        <v>1</v>
      </c>
      <c r="E31" s="42">
        <v>0</v>
      </c>
      <c r="F31" s="42">
        <v>0</v>
      </c>
      <c r="G31" s="88" t="s">
        <v>20</v>
      </c>
      <c r="H31" s="42">
        <v>1</v>
      </c>
      <c r="I31" s="42">
        <v>0</v>
      </c>
      <c r="J31" s="42">
        <v>0</v>
      </c>
      <c r="K31" s="42">
        <v>0</v>
      </c>
      <c r="L31" s="88" t="s">
        <v>28</v>
      </c>
      <c r="M31" s="42">
        <v>0</v>
      </c>
      <c r="N31" s="93" t="s">
        <v>72</v>
      </c>
      <c r="O31" s="94" t="s">
        <v>73</v>
      </c>
      <c r="P31" s="88">
        <v>1030</v>
      </c>
      <c r="Q31" s="88"/>
      <c r="R31" s="40"/>
      <c r="S31" s="40"/>
      <c r="T31" s="88">
        <v>1030</v>
      </c>
      <c r="U31" s="40"/>
    </row>
    <row r="32" spans="1:21" ht="14" x14ac:dyDescent="0.2">
      <c r="A32" s="40" t="s">
        <v>167</v>
      </c>
      <c r="B32" s="95" t="s">
        <v>168</v>
      </c>
      <c r="C32" s="99" t="s">
        <v>169</v>
      </c>
      <c r="D32" s="42">
        <v>1</v>
      </c>
      <c r="E32" s="42">
        <v>0</v>
      </c>
      <c r="F32" s="42">
        <v>1</v>
      </c>
      <c r="G32" s="88" t="s">
        <v>159</v>
      </c>
      <c r="H32" s="42">
        <v>1</v>
      </c>
      <c r="I32" s="42">
        <v>0</v>
      </c>
      <c r="J32" s="42">
        <v>1</v>
      </c>
      <c r="K32" s="42">
        <v>0</v>
      </c>
      <c r="L32" s="88" t="s">
        <v>78</v>
      </c>
      <c r="M32" s="42">
        <v>0</v>
      </c>
      <c r="N32" s="93" t="s">
        <v>72</v>
      </c>
      <c r="O32" s="94" t="s">
        <v>154</v>
      </c>
      <c r="P32" s="40" t="s">
        <v>86</v>
      </c>
      <c r="Q32" s="40" t="s">
        <v>86</v>
      </c>
      <c r="R32" s="40" t="s">
        <v>86</v>
      </c>
      <c r="S32" s="95" t="s">
        <v>170</v>
      </c>
      <c r="T32" s="40" t="s">
        <v>171</v>
      </c>
      <c r="U32" s="40"/>
    </row>
    <row r="33" spans="1:30" ht="14" x14ac:dyDescent="0.2">
      <c r="A33" s="40" t="s">
        <v>172</v>
      </c>
      <c r="B33" s="88" t="s">
        <v>173</v>
      </c>
      <c r="C33" s="88" t="s">
        <v>174</v>
      </c>
      <c r="D33" s="42">
        <v>1</v>
      </c>
      <c r="E33" s="42">
        <v>0</v>
      </c>
      <c r="F33" s="42">
        <v>0</v>
      </c>
      <c r="G33" s="88" t="s">
        <v>20</v>
      </c>
      <c r="H33" s="42">
        <v>1</v>
      </c>
      <c r="I33" s="42">
        <v>0</v>
      </c>
      <c r="J33" s="42">
        <v>0</v>
      </c>
      <c r="K33" s="42">
        <v>0</v>
      </c>
      <c r="L33" s="88" t="s">
        <v>28</v>
      </c>
      <c r="M33" s="42">
        <v>1</v>
      </c>
      <c r="N33" s="93" t="s">
        <v>72</v>
      </c>
      <c r="O33" s="94" t="s">
        <v>149</v>
      </c>
      <c r="P33" s="88"/>
      <c r="Q33" s="88"/>
      <c r="R33" s="40"/>
      <c r="S33" s="40"/>
      <c r="T33" s="88" t="s">
        <v>175</v>
      </c>
      <c r="U33" s="40"/>
    </row>
    <row r="34" spans="1:30" ht="14" x14ac:dyDescent="0.2">
      <c r="A34" s="40" t="s">
        <v>176</v>
      </c>
      <c r="B34" s="88" t="s">
        <v>173</v>
      </c>
      <c r="C34" s="88" t="s">
        <v>177</v>
      </c>
      <c r="D34" s="42">
        <v>1</v>
      </c>
      <c r="E34" s="42">
        <v>1</v>
      </c>
      <c r="F34" s="42">
        <v>0</v>
      </c>
      <c r="G34" s="88" t="s">
        <v>70</v>
      </c>
      <c r="H34" s="42">
        <v>1</v>
      </c>
      <c r="I34" s="42">
        <v>1</v>
      </c>
      <c r="J34" s="42">
        <v>0</v>
      </c>
      <c r="K34" s="42">
        <v>0</v>
      </c>
      <c r="L34" s="88" t="s">
        <v>71</v>
      </c>
      <c r="M34" s="42">
        <v>1</v>
      </c>
      <c r="N34" s="93" t="s">
        <v>72</v>
      </c>
      <c r="O34" s="94" t="s">
        <v>149</v>
      </c>
      <c r="P34" s="88"/>
      <c r="Q34" s="88"/>
      <c r="R34" s="40"/>
      <c r="S34" s="40"/>
      <c r="T34" s="88" t="s">
        <v>178</v>
      </c>
      <c r="U34" s="40"/>
    </row>
    <row r="35" spans="1:30" ht="14" x14ac:dyDescent="0.2">
      <c r="A35" s="40" t="s">
        <v>179</v>
      </c>
      <c r="B35" s="88" t="s">
        <v>180</v>
      </c>
      <c r="C35" s="88" t="s">
        <v>181</v>
      </c>
      <c r="D35" s="42">
        <v>1</v>
      </c>
      <c r="E35" s="42">
        <v>1</v>
      </c>
      <c r="F35" s="42">
        <v>0</v>
      </c>
      <c r="G35" s="88" t="s">
        <v>70</v>
      </c>
      <c r="H35" s="42">
        <v>1</v>
      </c>
      <c r="I35" s="42">
        <v>1</v>
      </c>
      <c r="J35" s="42">
        <v>0</v>
      </c>
      <c r="K35" s="42">
        <v>0</v>
      </c>
      <c r="L35" s="88" t="s">
        <v>71</v>
      </c>
      <c r="M35" s="42">
        <v>0</v>
      </c>
      <c r="N35" s="93" t="s">
        <v>72</v>
      </c>
      <c r="O35" s="94" t="s">
        <v>73</v>
      </c>
      <c r="P35" s="88">
        <v>1031</v>
      </c>
      <c r="Q35" s="88"/>
      <c r="R35" s="40"/>
      <c r="S35" s="40"/>
      <c r="T35" s="88">
        <v>1031</v>
      </c>
      <c r="U35" s="40"/>
    </row>
    <row r="36" spans="1:30" ht="14" x14ac:dyDescent="0.2">
      <c r="A36" s="40" t="s">
        <v>182</v>
      </c>
      <c r="B36" s="95" t="s">
        <v>183</v>
      </c>
      <c r="C36" s="99" t="s">
        <v>184</v>
      </c>
      <c r="D36" s="42">
        <v>1</v>
      </c>
      <c r="E36" s="42">
        <v>0</v>
      </c>
      <c r="F36" s="42">
        <v>0</v>
      </c>
      <c r="G36" s="95" t="s">
        <v>20</v>
      </c>
      <c r="H36" s="42">
        <v>1</v>
      </c>
      <c r="I36" s="42">
        <v>0</v>
      </c>
      <c r="J36" s="42">
        <v>0</v>
      </c>
      <c r="K36" s="42">
        <v>0</v>
      </c>
      <c r="L36" s="95" t="s">
        <v>121</v>
      </c>
      <c r="M36" s="42">
        <v>0</v>
      </c>
      <c r="N36" s="93" t="s">
        <v>72</v>
      </c>
      <c r="O36" s="94" t="s">
        <v>122</v>
      </c>
      <c r="P36" s="40" t="s">
        <v>86</v>
      </c>
      <c r="Q36" s="40" t="s">
        <v>86</v>
      </c>
      <c r="R36" s="95" t="s">
        <v>185</v>
      </c>
      <c r="S36" s="40" t="s">
        <v>86</v>
      </c>
      <c r="T36" s="95" t="s">
        <v>186</v>
      </c>
      <c r="U36" s="40"/>
    </row>
    <row r="37" spans="1:30" ht="14" x14ac:dyDescent="0.2">
      <c r="A37" s="40" t="s">
        <v>187</v>
      </c>
      <c r="B37" s="95" t="s">
        <v>188</v>
      </c>
      <c r="C37" s="99" t="s">
        <v>189</v>
      </c>
      <c r="D37" s="42">
        <v>1</v>
      </c>
      <c r="E37" s="42">
        <v>1</v>
      </c>
      <c r="F37" s="42">
        <v>0</v>
      </c>
      <c r="G37" s="95" t="s">
        <v>134</v>
      </c>
      <c r="H37" s="42">
        <v>1</v>
      </c>
      <c r="I37" s="42">
        <v>0</v>
      </c>
      <c r="J37" s="42">
        <v>1</v>
      </c>
      <c r="K37" s="42">
        <v>0</v>
      </c>
      <c r="L37" s="95" t="s">
        <v>135</v>
      </c>
      <c r="M37" s="42">
        <v>0</v>
      </c>
      <c r="N37" s="93" t="s">
        <v>72</v>
      </c>
      <c r="O37" s="94" t="s">
        <v>122</v>
      </c>
      <c r="P37" s="40" t="s">
        <v>86</v>
      </c>
      <c r="Q37" s="40" t="s">
        <v>86</v>
      </c>
      <c r="R37" s="95" t="s">
        <v>190</v>
      </c>
      <c r="S37" s="40" t="s">
        <v>86</v>
      </c>
      <c r="T37" s="95" t="s">
        <v>191</v>
      </c>
      <c r="U37" s="40"/>
      <c r="AD37" s="97"/>
    </row>
    <row r="38" spans="1:30" ht="14" x14ac:dyDescent="0.2">
      <c r="A38" s="40" t="s">
        <v>193</v>
      </c>
      <c r="B38" s="88" t="s">
        <v>192</v>
      </c>
      <c r="C38" s="88" t="s">
        <v>194</v>
      </c>
      <c r="D38" s="42">
        <v>0</v>
      </c>
      <c r="E38" s="42">
        <v>1</v>
      </c>
      <c r="F38" s="42">
        <v>0</v>
      </c>
      <c r="G38" s="88" t="s">
        <v>22</v>
      </c>
      <c r="H38" s="42">
        <v>1</v>
      </c>
      <c r="I38" s="42">
        <v>0</v>
      </c>
      <c r="J38" s="42">
        <v>1</v>
      </c>
      <c r="K38" s="42">
        <v>0</v>
      </c>
      <c r="L38" s="88" t="s">
        <v>78</v>
      </c>
      <c r="M38" s="42">
        <v>0</v>
      </c>
      <c r="N38" s="93" t="s">
        <v>72</v>
      </c>
      <c r="O38" s="94" t="s">
        <v>73</v>
      </c>
      <c r="P38" s="88">
        <v>1033</v>
      </c>
      <c r="Q38" s="88"/>
      <c r="R38" s="40"/>
      <c r="S38" s="40"/>
      <c r="T38" s="88">
        <v>1033</v>
      </c>
      <c r="U38" s="40"/>
      <c r="AD38" s="97"/>
    </row>
    <row r="39" spans="1:30" ht="14" x14ac:dyDescent="0.2">
      <c r="A39" s="40" t="s">
        <v>195</v>
      </c>
      <c r="B39" s="88" t="s">
        <v>192</v>
      </c>
      <c r="C39" s="88" t="s">
        <v>196</v>
      </c>
      <c r="D39" s="42">
        <v>1</v>
      </c>
      <c r="E39" s="42">
        <v>0</v>
      </c>
      <c r="F39" s="42">
        <v>0</v>
      </c>
      <c r="G39" s="88" t="s">
        <v>20</v>
      </c>
      <c r="H39" s="42">
        <v>1</v>
      </c>
      <c r="I39" s="42">
        <v>0</v>
      </c>
      <c r="J39" s="42">
        <v>0</v>
      </c>
      <c r="K39" s="42">
        <v>0</v>
      </c>
      <c r="L39" s="88" t="s">
        <v>28</v>
      </c>
      <c r="M39" s="42">
        <v>1</v>
      </c>
      <c r="N39" s="93" t="s">
        <v>72</v>
      </c>
      <c r="O39" s="94" t="s">
        <v>73</v>
      </c>
      <c r="P39" s="88">
        <v>1036</v>
      </c>
      <c r="Q39" s="88"/>
      <c r="R39" s="40"/>
      <c r="S39" s="40"/>
      <c r="T39" s="88">
        <v>1036</v>
      </c>
      <c r="U39" s="40"/>
    </row>
    <row r="40" spans="1:30" ht="30" x14ac:dyDescent="0.2">
      <c r="A40" s="40" t="s">
        <v>197</v>
      </c>
      <c r="B40" s="88" t="s">
        <v>192</v>
      </c>
      <c r="C40" s="134" t="s">
        <v>1404</v>
      </c>
      <c r="D40" s="42">
        <v>1</v>
      </c>
      <c r="E40" s="42">
        <v>1</v>
      </c>
      <c r="F40" s="42">
        <v>0</v>
      </c>
      <c r="G40" s="88" t="s">
        <v>70</v>
      </c>
      <c r="H40" s="42">
        <v>1</v>
      </c>
      <c r="I40" s="42">
        <v>0</v>
      </c>
      <c r="J40" s="42">
        <v>1</v>
      </c>
      <c r="K40" s="42">
        <v>0</v>
      </c>
      <c r="L40" s="88" t="s">
        <v>78</v>
      </c>
      <c r="M40" s="42">
        <v>1</v>
      </c>
      <c r="N40" s="93" t="s">
        <v>72</v>
      </c>
      <c r="O40" s="94" t="s">
        <v>73</v>
      </c>
      <c r="P40" s="88">
        <v>1037</v>
      </c>
      <c r="Q40" s="88"/>
      <c r="R40" s="40"/>
      <c r="S40" s="40"/>
      <c r="T40" s="88">
        <v>1037</v>
      </c>
      <c r="U40" s="40"/>
      <c r="AD40" s="97"/>
    </row>
    <row r="41" spans="1:30" s="95" customFormat="1" ht="14" x14ac:dyDescent="0.2">
      <c r="A41" s="40" t="s">
        <v>198</v>
      </c>
      <c r="B41" s="88" t="s">
        <v>192</v>
      </c>
      <c r="C41" s="88" t="s">
        <v>199</v>
      </c>
      <c r="D41" s="42">
        <v>1</v>
      </c>
      <c r="E41" s="42">
        <v>1</v>
      </c>
      <c r="F41" s="42">
        <v>0</v>
      </c>
      <c r="G41" s="88" t="s">
        <v>70</v>
      </c>
      <c r="H41" s="42">
        <v>1</v>
      </c>
      <c r="I41" s="42">
        <v>1</v>
      </c>
      <c r="J41" s="42">
        <v>0</v>
      </c>
      <c r="K41" s="42">
        <v>0</v>
      </c>
      <c r="L41" s="88" t="s">
        <v>71</v>
      </c>
      <c r="M41" s="42">
        <v>1</v>
      </c>
      <c r="N41" s="93" t="s">
        <v>72</v>
      </c>
      <c r="O41" s="94" t="s">
        <v>73</v>
      </c>
      <c r="P41" s="88">
        <v>1038</v>
      </c>
      <c r="Q41" s="88"/>
      <c r="R41" s="40"/>
      <c r="T41" s="88">
        <v>1038</v>
      </c>
    </row>
    <row r="42" spans="1:30" s="95" customFormat="1" ht="14" x14ac:dyDescent="0.2">
      <c r="A42" s="40" t="s">
        <v>200</v>
      </c>
      <c r="B42" s="95" t="s">
        <v>201</v>
      </c>
      <c r="C42" s="99" t="s">
        <v>202</v>
      </c>
      <c r="D42" s="42">
        <v>1</v>
      </c>
      <c r="E42" s="42">
        <v>1</v>
      </c>
      <c r="F42" s="42">
        <v>0</v>
      </c>
      <c r="G42" s="95" t="s">
        <v>134</v>
      </c>
      <c r="H42" s="42">
        <v>1</v>
      </c>
      <c r="I42" s="42">
        <v>1</v>
      </c>
      <c r="J42" s="42">
        <v>0</v>
      </c>
      <c r="K42" s="42">
        <v>0</v>
      </c>
      <c r="L42" s="95" t="s">
        <v>140</v>
      </c>
      <c r="M42" s="42">
        <v>0</v>
      </c>
      <c r="N42" s="93" t="s">
        <v>72</v>
      </c>
      <c r="O42" s="94" t="s">
        <v>122</v>
      </c>
      <c r="P42" s="40" t="s">
        <v>86</v>
      </c>
      <c r="Q42" s="40" t="s">
        <v>86</v>
      </c>
      <c r="R42" s="95" t="s">
        <v>203</v>
      </c>
      <c r="S42" s="40" t="s">
        <v>86</v>
      </c>
      <c r="T42" s="95" t="s">
        <v>204</v>
      </c>
    </row>
    <row r="43" spans="1:30" s="95" customFormat="1" ht="14" x14ac:dyDescent="0.2">
      <c r="A43" s="40" t="s">
        <v>205</v>
      </c>
      <c r="B43" s="88" t="s">
        <v>206</v>
      </c>
      <c r="C43" s="88" t="s">
        <v>207</v>
      </c>
      <c r="D43" s="42">
        <v>1</v>
      </c>
      <c r="E43" s="42">
        <v>0</v>
      </c>
      <c r="F43" s="42">
        <v>0</v>
      </c>
      <c r="G43" s="88" t="s">
        <v>20</v>
      </c>
      <c r="H43" s="42">
        <v>1</v>
      </c>
      <c r="I43" s="42">
        <v>0</v>
      </c>
      <c r="J43" s="42">
        <v>0</v>
      </c>
      <c r="K43" s="42">
        <v>0</v>
      </c>
      <c r="L43" s="88" t="s">
        <v>28</v>
      </c>
      <c r="M43" s="42">
        <v>0</v>
      </c>
      <c r="N43" s="93" t="s">
        <v>72</v>
      </c>
      <c r="O43" s="94" t="s">
        <v>154</v>
      </c>
      <c r="P43" s="40" t="s">
        <v>86</v>
      </c>
      <c r="Q43" s="40" t="s">
        <v>86</v>
      </c>
      <c r="R43" s="40" t="s">
        <v>86</v>
      </c>
      <c r="S43" s="95" t="s">
        <v>208</v>
      </c>
      <c r="T43" s="40" t="s">
        <v>209</v>
      </c>
    </row>
    <row r="44" spans="1:30" s="95" customFormat="1" ht="14" x14ac:dyDescent="0.2">
      <c r="A44" s="40" t="s">
        <v>210</v>
      </c>
      <c r="B44" s="88" t="s">
        <v>206</v>
      </c>
      <c r="C44" s="88" t="s">
        <v>211</v>
      </c>
      <c r="D44" s="42">
        <v>1</v>
      </c>
      <c r="E44" s="42">
        <v>1</v>
      </c>
      <c r="F44" s="42">
        <v>0</v>
      </c>
      <c r="G44" s="88" t="s">
        <v>70</v>
      </c>
      <c r="H44" s="42">
        <v>1</v>
      </c>
      <c r="I44" s="42">
        <v>1</v>
      </c>
      <c r="J44" s="42">
        <v>0</v>
      </c>
      <c r="K44" s="42">
        <v>0</v>
      </c>
      <c r="L44" s="88" t="s">
        <v>71</v>
      </c>
      <c r="M44" s="42">
        <v>0</v>
      </c>
      <c r="N44" s="93" t="s">
        <v>72</v>
      </c>
      <c r="O44" s="94" t="s">
        <v>73</v>
      </c>
      <c r="P44" s="88">
        <v>1022</v>
      </c>
      <c r="Q44" s="88"/>
      <c r="R44" s="98"/>
      <c r="T44" s="88">
        <v>1022</v>
      </c>
    </row>
    <row r="45" spans="1:30" s="95" customFormat="1" ht="14" x14ac:dyDescent="0.2">
      <c r="A45" s="40" t="s">
        <v>212</v>
      </c>
      <c r="B45" s="88" t="s">
        <v>206</v>
      </c>
      <c r="C45" s="88" t="s">
        <v>213</v>
      </c>
      <c r="D45" s="42">
        <v>1</v>
      </c>
      <c r="E45" s="100">
        <v>1</v>
      </c>
      <c r="F45" s="42">
        <v>0</v>
      </c>
      <c r="G45" s="95" t="s">
        <v>134</v>
      </c>
      <c r="H45" s="42">
        <v>1</v>
      </c>
      <c r="I45" s="42">
        <v>0</v>
      </c>
      <c r="J45" s="42">
        <v>1</v>
      </c>
      <c r="K45" s="42">
        <v>0</v>
      </c>
      <c r="L45" s="40" t="s">
        <v>214</v>
      </c>
      <c r="M45" s="42">
        <v>0</v>
      </c>
      <c r="N45" s="93" t="s">
        <v>72</v>
      </c>
      <c r="O45" s="94" t="s">
        <v>154</v>
      </c>
      <c r="P45" s="40" t="s">
        <v>86</v>
      </c>
      <c r="Q45" s="40" t="s">
        <v>86</v>
      </c>
      <c r="R45" s="40" t="s">
        <v>86</v>
      </c>
      <c r="S45" s="95" t="s">
        <v>215</v>
      </c>
      <c r="T45" s="40" t="s">
        <v>216</v>
      </c>
    </row>
    <row r="46" spans="1:30" s="95" customFormat="1" ht="14" x14ac:dyDescent="0.2">
      <c r="A46" s="40" t="s">
        <v>217</v>
      </c>
      <c r="B46" s="88" t="s">
        <v>218</v>
      </c>
      <c r="C46" s="88" t="s">
        <v>219</v>
      </c>
      <c r="D46" s="42">
        <v>1</v>
      </c>
      <c r="E46" s="42">
        <v>1</v>
      </c>
      <c r="F46" s="42">
        <v>0</v>
      </c>
      <c r="G46" s="88" t="s">
        <v>70</v>
      </c>
      <c r="H46" s="42">
        <v>1</v>
      </c>
      <c r="I46" s="42">
        <v>1</v>
      </c>
      <c r="J46" s="42">
        <v>0</v>
      </c>
      <c r="K46" s="42">
        <v>0</v>
      </c>
      <c r="L46" s="88" t="s">
        <v>71</v>
      </c>
      <c r="M46" s="42">
        <v>0</v>
      </c>
      <c r="N46" s="93" t="s">
        <v>72</v>
      </c>
      <c r="O46" s="94" t="s">
        <v>73</v>
      </c>
      <c r="P46" s="88">
        <v>1034</v>
      </c>
      <c r="Q46" s="88"/>
      <c r="R46" s="40"/>
      <c r="S46" s="40"/>
      <c r="T46" s="88">
        <v>1034</v>
      </c>
    </row>
    <row r="47" spans="1:30" s="95" customFormat="1" ht="14" x14ac:dyDescent="0.2">
      <c r="A47" s="40" t="s">
        <v>220</v>
      </c>
      <c r="B47" s="88" t="s">
        <v>221</v>
      </c>
      <c r="C47" s="88" t="s">
        <v>222</v>
      </c>
      <c r="D47" s="42">
        <v>1</v>
      </c>
      <c r="E47" s="42">
        <v>0</v>
      </c>
      <c r="F47" s="42">
        <v>0</v>
      </c>
      <c r="G47" s="88" t="s">
        <v>20</v>
      </c>
      <c r="H47" s="42">
        <v>1</v>
      </c>
      <c r="I47" s="42">
        <v>0</v>
      </c>
      <c r="J47" s="42">
        <v>0</v>
      </c>
      <c r="K47" s="42">
        <v>0</v>
      </c>
      <c r="L47" s="88" t="s">
        <v>28</v>
      </c>
      <c r="M47" s="42">
        <v>0</v>
      </c>
      <c r="N47" s="93" t="s">
        <v>72</v>
      </c>
      <c r="O47" s="94" t="s">
        <v>73</v>
      </c>
      <c r="P47" s="88">
        <v>1045</v>
      </c>
      <c r="Q47" s="88"/>
      <c r="T47" s="88">
        <v>1045</v>
      </c>
    </row>
    <row r="48" spans="1:30" s="95" customFormat="1" ht="14" x14ac:dyDescent="0.2">
      <c r="A48" s="40" t="s">
        <v>223</v>
      </c>
      <c r="B48" s="88" t="s">
        <v>221</v>
      </c>
      <c r="C48" s="88" t="s">
        <v>224</v>
      </c>
      <c r="D48" s="42">
        <v>1</v>
      </c>
      <c r="E48" s="42">
        <v>1</v>
      </c>
      <c r="F48" s="42">
        <v>0</v>
      </c>
      <c r="G48" s="88" t="s">
        <v>70</v>
      </c>
      <c r="H48" s="42">
        <v>1</v>
      </c>
      <c r="I48" s="42">
        <v>0</v>
      </c>
      <c r="J48" s="42">
        <v>1</v>
      </c>
      <c r="K48" s="42">
        <v>0</v>
      </c>
      <c r="L48" s="88" t="s">
        <v>78</v>
      </c>
      <c r="M48" s="42">
        <v>0</v>
      </c>
      <c r="N48" s="93" t="s">
        <v>72</v>
      </c>
      <c r="O48" s="94" t="s">
        <v>73</v>
      </c>
      <c r="P48" s="88">
        <v>1046</v>
      </c>
      <c r="Q48" s="88"/>
      <c r="S48" s="40"/>
      <c r="T48" s="88">
        <v>1046</v>
      </c>
    </row>
    <row r="49" spans="1:21" s="95" customFormat="1" ht="14" x14ac:dyDescent="0.2">
      <c r="A49" s="40" t="s">
        <v>225</v>
      </c>
      <c r="B49" s="88" t="s">
        <v>221</v>
      </c>
      <c r="C49" s="88" t="s">
        <v>226</v>
      </c>
      <c r="D49" s="42">
        <v>1</v>
      </c>
      <c r="E49" s="42">
        <v>1</v>
      </c>
      <c r="F49" s="42">
        <v>0</v>
      </c>
      <c r="G49" s="88" t="s">
        <v>70</v>
      </c>
      <c r="H49" s="42">
        <v>1</v>
      </c>
      <c r="I49" s="42">
        <v>1</v>
      </c>
      <c r="J49" s="42">
        <v>0</v>
      </c>
      <c r="K49" s="42">
        <v>0</v>
      </c>
      <c r="L49" s="88" t="s">
        <v>71</v>
      </c>
      <c r="M49" s="42">
        <v>0</v>
      </c>
      <c r="N49" s="93" t="s">
        <v>72</v>
      </c>
      <c r="O49" s="94" t="s">
        <v>73</v>
      </c>
      <c r="P49" s="88">
        <v>1047</v>
      </c>
      <c r="Q49" s="88"/>
      <c r="S49" s="40"/>
      <c r="T49" s="88">
        <v>1047</v>
      </c>
    </row>
    <row r="50" spans="1:21" ht="14" x14ac:dyDescent="0.2">
      <c r="A50" s="40" t="s">
        <v>227</v>
      </c>
      <c r="B50" s="88" t="s">
        <v>228</v>
      </c>
      <c r="C50" s="88" t="s">
        <v>229</v>
      </c>
      <c r="D50" s="42">
        <v>1</v>
      </c>
      <c r="E50" s="42">
        <v>0</v>
      </c>
      <c r="F50" s="42">
        <v>0</v>
      </c>
      <c r="G50" s="88" t="s">
        <v>20</v>
      </c>
      <c r="H50" s="42">
        <v>1</v>
      </c>
      <c r="I50" s="42">
        <v>0</v>
      </c>
      <c r="J50" s="42">
        <v>0</v>
      </c>
      <c r="K50" s="42">
        <v>0</v>
      </c>
      <c r="L50" s="88" t="s">
        <v>28</v>
      </c>
      <c r="M50" s="42">
        <v>1</v>
      </c>
      <c r="N50" s="93" t="s">
        <v>72</v>
      </c>
      <c r="O50" s="94" t="s">
        <v>73</v>
      </c>
      <c r="P50" s="88">
        <v>1039</v>
      </c>
      <c r="Q50" s="88"/>
      <c r="R50" s="40"/>
      <c r="S50" s="95"/>
      <c r="T50" s="88">
        <v>1039</v>
      </c>
      <c r="U50" s="40"/>
    </row>
    <row r="51" spans="1:21" ht="14" x14ac:dyDescent="0.2">
      <c r="A51" s="40" t="s">
        <v>230</v>
      </c>
      <c r="B51" s="88" t="s">
        <v>231</v>
      </c>
      <c r="C51" s="88" t="s">
        <v>232</v>
      </c>
      <c r="D51" s="42">
        <v>1</v>
      </c>
      <c r="E51" s="42">
        <v>1</v>
      </c>
      <c r="F51" s="42">
        <v>0</v>
      </c>
      <c r="G51" s="88" t="s">
        <v>70</v>
      </c>
      <c r="H51" s="42">
        <v>1</v>
      </c>
      <c r="I51" s="42">
        <v>0</v>
      </c>
      <c r="J51" s="42">
        <v>1</v>
      </c>
      <c r="K51" s="42">
        <v>0</v>
      </c>
      <c r="L51" s="88" t="s">
        <v>78</v>
      </c>
      <c r="M51" s="42">
        <v>1</v>
      </c>
      <c r="N51" s="93" t="s">
        <v>72</v>
      </c>
      <c r="O51" s="94" t="s">
        <v>233</v>
      </c>
      <c r="P51" s="88">
        <v>1026</v>
      </c>
      <c r="Q51" s="95">
        <v>24422202</v>
      </c>
      <c r="R51" s="98"/>
      <c r="S51" s="40"/>
      <c r="T51" s="88">
        <v>1026</v>
      </c>
      <c r="U51" s="40"/>
    </row>
    <row r="52" spans="1:21" ht="14" x14ac:dyDescent="0.2">
      <c r="A52" s="40" t="s">
        <v>234</v>
      </c>
      <c r="B52" s="88" t="s">
        <v>231</v>
      </c>
      <c r="C52" s="88" t="s">
        <v>235</v>
      </c>
      <c r="D52" s="42">
        <v>1</v>
      </c>
      <c r="E52" s="42">
        <v>0</v>
      </c>
      <c r="F52" s="42">
        <v>0</v>
      </c>
      <c r="G52" s="88" t="s">
        <v>20</v>
      </c>
      <c r="H52" s="42">
        <v>1</v>
      </c>
      <c r="I52" s="42">
        <v>0</v>
      </c>
      <c r="J52" s="42">
        <v>0</v>
      </c>
      <c r="K52" s="42">
        <v>0</v>
      </c>
      <c r="L52" s="88" t="s">
        <v>28</v>
      </c>
      <c r="M52" s="42">
        <v>1</v>
      </c>
      <c r="N52" s="93" t="s">
        <v>72</v>
      </c>
      <c r="O52" s="94" t="s">
        <v>233</v>
      </c>
      <c r="P52" s="88">
        <v>1027</v>
      </c>
      <c r="Q52" s="95">
        <v>24422201</v>
      </c>
      <c r="R52" s="98"/>
      <c r="S52" s="40"/>
      <c r="T52" s="88">
        <v>1027</v>
      </c>
      <c r="U52" s="40"/>
    </row>
    <row r="53" spans="1:21" ht="14" x14ac:dyDescent="0.2">
      <c r="A53" s="40" t="s">
        <v>236</v>
      </c>
      <c r="B53" s="88" t="s">
        <v>231</v>
      </c>
      <c r="C53" s="88" t="s">
        <v>237</v>
      </c>
      <c r="D53" s="42">
        <v>1</v>
      </c>
      <c r="E53" s="42">
        <v>1</v>
      </c>
      <c r="F53" s="42">
        <v>0</v>
      </c>
      <c r="G53" s="88" t="s">
        <v>70</v>
      </c>
      <c r="H53" s="42">
        <v>1</v>
      </c>
      <c r="I53" s="42">
        <v>1</v>
      </c>
      <c r="J53" s="42">
        <v>0</v>
      </c>
      <c r="K53" s="42">
        <v>0</v>
      </c>
      <c r="L53" s="88" t="s">
        <v>71</v>
      </c>
      <c r="M53" s="42">
        <v>1</v>
      </c>
      <c r="N53" s="93" t="s">
        <v>72</v>
      </c>
      <c r="O53" s="94" t="s">
        <v>73</v>
      </c>
      <c r="P53" s="88">
        <v>1028</v>
      </c>
      <c r="Q53" s="88"/>
      <c r="R53" s="40"/>
      <c r="S53" s="40"/>
      <c r="T53" s="88">
        <v>1028</v>
      </c>
      <c r="U53" s="40"/>
    </row>
    <row r="54" spans="1:21" ht="14" x14ac:dyDescent="0.2">
      <c r="A54" s="40" t="s">
        <v>238</v>
      </c>
      <c r="B54" s="95" t="s">
        <v>239</v>
      </c>
      <c r="C54" s="99" t="s">
        <v>240</v>
      </c>
      <c r="D54" s="42">
        <v>1</v>
      </c>
      <c r="E54" s="42">
        <v>1</v>
      </c>
      <c r="F54" s="42">
        <v>0</v>
      </c>
      <c r="G54" s="95" t="s">
        <v>134</v>
      </c>
      <c r="H54" s="42">
        <v>1</v>
      </c>
      <c r="I54" s="42">
        <v>1</v>
      </c>
      <c r="J54" s="42">
        <v>0</v>
      </c>
      <c r="K54" s="42">
        <v>0</v>
      </c>
      <c r="L54" s="95" t="s">
        <v>140</v>
      </c>
      <c r="M54" s="42">
        <v>0</v>
      </c>
      <c r="N54" s="93" t="s">
        <v>72</v>
      </c>
      <c r="O54" s="94" t="s">
        <v>122</v>
      </c>
      <c r="P54" s="40" t="s">
        <v>86</v>
      </c>
      <c r="Q54" s="40" t="s">
        <v>86</v>
      </c>
      <c r="R54" s="95" t="s">
        <v>241</v>
      </c>
      <c r="S54" s="40" t="s">
        <v>86</v>
      </c>
      <c r="T54" s="95" t="s">
        <v>242</v>
      </c>
      <c r="U54" s="40"/>
    </row>
    <row r="55" spans="1:21" ht="14" x14ac:dyDescent="0.2">
      <c r="A55" s="40" t="s">
        <v>243</v>
      </c>
      <c r="B55" s="88" t="s">
        <v>244</v>
      </c>
      <c r="C55" s="88" t="s">
        <v>245</v>
      </c>
      <c r="D55" s="42">
        <v>0</v>
      </c>
      <c r="E55" s="42">
        <v>1</v>
      </c>
      <c r="F55" s="42">
        <v>0</v>
      </c>
      <c r="G55" s="88" t="s">
        <v>22</v>
      </c>
      <c r="H55" s="42">
        <v>1</v>
      </c>
      <c r="I55" s="42">
        <v>0</v>
      </c>
      <c r="J55" s="42">
        <v>0</v>
      </c>
      <c r="K55" s="42">
        <v>0</v>
      </c>
      <c r="L55" s="88" t="s">
        <v>28</v>
      </c>
      <c r="M55" s="42">
        <v>0</v>
      </c>
      <c r="N55" s="93" t="s">
        <v>72</v>
      </c>
      <c r="O55" s="94" t="s">
        <v>73</v>
      </c>
      <c r="P55" s="88">
        <v>1003</v>
      </c>
      <c r="Q55" s="88"/>
      <c r="R55" s="40"/>
      <c r="S55" s="40"/>
      <c r="T55" s="88">
        <v>1003</v>
      </c>
      <c r="U55" s="40"/>
    </row>
    <row r="56" spans="1:21" ht="14" x14ac:dyDescent="0.2">
      <c r="A56" s="40" t="s">
        <v>246</v>
      </c>
      <c r="B56" s="88" t="s">
        <v>244</v>
      </c>
      <c r="C56" s="88" t="s">
        <v>247</v>
      </c>
      <c r="D56" s="42">
        <v>1</v>
      </c>
      <c r="E56" s="42">
        <v>1</v>
      </c>
      <c r="F56" s="42">
        <v>0</v>
      </c>
      <c r="G56" s="88" t="s">
        <v>70</v>
      </c>
      <c r="H56" s="42">
        <v>1</v>
      </c>
      <c r="I56" s="42">
        <v>0</v>
      </c>
      <c r="J56" s="42">
        <v>0</v>
      </c>
      <c r="K56" s="42">
        <v>0</v>
      </c>
      <c r="L56" s="88" t="s">
        <v>28</v>
      </c>
      <c r="M56" s="42">
        <v>0</v>
      </c>
      <c r="N56" s="93" t="s">
        <v>72</v>
      </c>
      <c r="O56" s="94" t="s">
        <v>73</v>
      </c>
      <c r="P56" s="88">
        <v>1004</v>
      </c>
      <c r="Q56" s="88"/>
      <c r="R56" s="40"/>
      <c r="S56" s="40"/>
      <c r="T56" s="88">
        <v>1004</v>
      </c>
      <c r="U56" s="40"/>
    </row>
    <row r="57" spans="1:21" ht="14" x14ac:dyDescent="0.2">
      <c r="A57" s="40" t="s">
        <v>248</v>
      </c>
      <c r="B57" s="88" t="s">
        <v>244</v>
      </c>
      <c r="C57" s="88" t="s">
        <v>249</v>
      </c>
      <c r="D57" s="42">
        <v>0</v>
      </c>
      <c r="E57" s="42">
        <v>1</v>
      </c>
      <c r="F57" s="42">
        <v>0</v>
      </c>
      <c r="G57" s="88" t="s">
        <v>22</v>
      </c>
      <c r="H57" s="42">
        <v>1</v>
      </c>
      <c r="I57" s="42">
        <v>1</v>
      </c>
      <c r="J57" s="42">
        <v>0</v>
      </c>
      <c r="K57" s="42">
        <v>0</v>
      </c>
      <c r="L57" s="88" t="s">
        <v>71</v>
      </c>
      <c r="M57" s="42">
        <v>0</v>
      </c>
      <c r="N57" s="93" t="s">
        <v>72</v>
      </c>
      <c r="O57" s="94" t="s">
        <v>73</v>
      </c>
      <c r="P57" s="88">
        <v>1005</v>
      </c>
      <c r="Q57" s="88"/>
      <c r="R57" s="40"/>
      <c r="S57" s="40"/>
      <c r="T57" s="88">
        <v>1005</v>
      </c>
      <c r="U57" s="40"/>
    </row>
    <row r="58" spans="1:21" ht="14" x14ac:dyDescent="0.2">
      <c r="A58" s="40" t="s">
        <v>250</v>
      </c>
      <c r="B58" s="88" t="s">
        <v>251</v>
      </c>
      <c r="C58" s="88" t="s">
        <v>252</v>
      </c>
      <c r="D58" s="42">
        <v>1</v>
      </c>
      <c r="E58" s="42">
        <v>1</v>
      </c>
      <c r="F58" s="42">
        <v>0</v>
      </c>
      <c r="G58" s="88" t="s">
        <v>70</v>
      </c>
      <c r="H58" s="42">
        <v>1</v>
      </c>
      <c r="I58" s="42">
        <v>0</v>
      </c>
      <c r="J58" s="42">
        <v>1</v>
      </c>
      <c r="K58" s="42">
        <v>0</v>
      </c>
      <c r="L58" s="88" t="s">
        <v>78</v>
      </c>
      <c r="M58" s="42">
        <v>1</v>
      </c>
      <c r="N58" s="93" t="s">
        <v>72</v>
      </c>
      <c r="O58" s="94" t="s">
        <v>73</v>
      </c>
      <c r="P58" s="88">
        <v>1042</v>
      </c>
      <c r="Q58" s="95">
        <v>23342104</v>
      </c>
      <c r="R58" s="40"/>
      <c r="S58" s="40"/>
      <c r="T58" s="88">
        <v>1042</v>
      </c>
      <c r="U58" s="40"/>
    </row>
    <row r="59" spans="1:21" ht="14" x14ac:dyDescent="0.2">
      <c r="A59" s="40" t="s">
        <v>253</v>
      </c>
      <c r="B59" s="88" t="s">
        <v>251</v>
      </c>
      <c r="C59" s="88" t="s">
        <v>254</v>
      </c>
      <c r="D59" s="42">
        <v>1</v>
      </c>
      <c r="E59" s="42">
        <v>1</v>
      </c>
      <c r="F59" s="42">
        <v>0</v>
      </c>
      <c r="G59" s="88" t="s">
        <v>70</v>
      </c>
      <c r="H59" s="42">
        <v>1</v>
      </c>
      <c r="I59" s="42">
        <v>1</v>
      </c>
      <c r="J59" s="42">
        <v>0</v>
      </c>
      <c r="K59" s="42">
        <v>0</v>
      </c>
      <c r="L59" s="88" t="s">
        <v>71</v>
      </c>
      <c r="M59" s="42">
        <v>1</v>
      </c>
      <c r="N59" s="93" t="s">
        <v>72</v>
      </c>
      <c r="O59" s="94" t="s">
        <v>73</v>
      </c>
      <c r="P59" s="88">
        <v>1043</v>
      </c>
      <c r="Q59" s="88"/>
      <c r="R59" s="40"/>
      <c r="S59" s="95"/>
      <c r="T59" s="88">
        <v>1043</v>
      </c>
      <c r="U59" s="40"/>
    </row>
    <row r="60" spans="1:21" ht="14" x14ac:dyDescent="0.2">
      <c r="A60" s="40" t="s">
        <v>255</v>
      </c>
      <c r="B60" s="88" t="s">
        <v>251</v>
      </c>
      <c r="C60" s="88" t="s">
        <v>256</v>
      </c>
      <c r="D60" s="42">
        <v>1</v>
      </c>
      <c r="E60" s="42">
        <v>0</v>
      </c>
      <c r="F60" s="42">
        <v>0</v>
      </c>
      <c r="G60" s="88" t="s">
        <v>20</v>
      </c>
      <c r="H60" s="42">
        <v>1</v>
      </c>
      <c r="I60" s="42">
        <v>0</v>
      </c>
      <c r="J60" s="42">
        <v>0</v>
      </c>
      <c r="K60" s="42">
        <v>0</v>
      </c>
      <c r="L60" s="88" t="s">
        <v>28</v>
      </c>
      <c r="M60" s="42">
        <v>1</v>
      </c>
      <c r="N60" s="93" t="s">
        <v>72</v>
      </c>
      <c r="O60" s="94" t="s">
        <v>233</v>
      </c>
      <c r="P60" s="88">
        <v>1044</v>
      </c>
      <c r="Q60" s="95">
        <v>23342103</v>
      </c>
      <c r="R60" s="95"/>
      <c r="S60" s="95"/>
      <c r="T60" s="88">
        <v>1044</v>
      </c>
      <c r="U60" s="40"/>
    </row>
    <row r="61" spans="1:21" ht="14" x14ac:dyDescent="0.2">
      <c r="A61" s="40" t="s">
        <v>257</v>
      </c>
      <c r="B61" s="88" t="s">
        <v>258</v>
      </c>
      <c r="C61" s="88" t="s">
        <v>259</v>
      </c>
      <c r="D61" s="42">
        <v>1</v>
      </c>
      <c r="E61" s="42">
        <v>1</v>
      </c>
      <c r="F61" s="42">
        <v>0</v>
      </c>
      <c r="G61" s="88" t="s">
        <v>70</v>
      </c>
      <c r="H61" s="42">
        <v>1</v>
      </c>
      <c r="I61" s="42">
        <v>0</v>
      </c>
      <c r="J61" s="42">
        <v>1</v>
      </c>
      <c r="K61" s="42">
        <v>0</v>
      </c>
      <c r="L61" s="88" t="s">
        <v>78</v>
      </c>
      <c r="M61" s="42">
        <v>0</v>
      </c>
      <c r="N61" s="93" t="s">
        <v>72</v>
      </c>
      <c r="O61" s="94" t="s">
        <v>154</v>
      </c>
      <c r="P61" s="88" t="s">
        <v>86</v>
      </c>
      <c r="Q61" s="40" t="s">
        <v>86</v>
      </c>
      <c r="R61" s="40" t="s">
        <v>86</v>
      </c>
      <c r="S61" s="95" t="s">
        <v>260</v>
      </c>
      <c r="T61" s="40" t="s">
        <v>261</v>
      </c>
      <c r="U61" s="40"/>
    </row>
    <row r="62" spans="1:21" ht="14" x14ac:dyDescent="0.2">
      <c r="A62" s="40" t="s">
        <v>262</v>
      </c>
      <c r="B62" s="88" t="s">
        <v>258</v>
      </c>
      <c r="C62" s="88" t="s">
        <v>263</v>
      </c>
      <c r="D62" s="42">
        <v>1</v>
      </c>
      <c r="E62" s="42">
        <v>1</v>
      </c>
      <c r="F62" s="42">
        <v>0</v>
      </c>
      <c r="G62" s="88" t="s">
        <v>70</v>
      </c>
      <c r="H62" s="42">
        <v>1</v>
      </c>
      <c r="I62" s="42">
        <v>0</v>
      </c>
      <c r="J62" s="42">
        <v>0</v>
      </c>
      <c r="K62" s="42">
        <v>0</v>
      </c>
      <c r="L62" s="88" t="s">
        <v>28</v>
      </c>
      <c r="M62" s="42">
        <v>0</v>
      </c>
      <c r="N62" s="93" t="s">
        <v>72</v>
      </c>
      <c r="O62" s="96" t="s">
        <v>264</v>
      </c>
      <c r="P62" s="95" t="s">
        <v>86</v>
      </c>
      <c r="Q62" s="95">
        <v>12081201</v>
      </c>
      <c r="R62" s="95"/>
      <c r="S62" s="95" t="s">
        <v>265</v>
      </c>
      <c r="T62" s="88">
        <v>1048</v>
      </c>
      <c r="U62" s="40"/>
    </row>
    <row r="63" spans="1:21" ht="14" x14ac:dyDescent="0.2">
      <c r="A63" s="40" t="s">
        <v>266</v>
      </c>
      <c r="B63" s="88" t="s">
        <v>267</v>
      </c>
      <c r="C63" s="88" t="s">
        <v>1401</v>
      </c>
      <c r="D63" s="42">
        <v>1</v>
      </c>
      <c r="E63" s="42">
        <v>1</v>
      </c>
      <c r="F63" s="42">
        <v>0</v>
      </c>
      <c r="G63" s="88" t="s">
        <v>70</v>
      </c>
      <c r="H63" s="42">
        <v>1</v>
      </c>
      <c r="I63" s="42">
        <v>0</v>
      </c>
      <c r="J63" s="42">
        <v>0</v>
      </c>
      <c r="K63" s="42">
        <v>0</v>
      </c>
      <c r="L63" s="88" t="s">
        <v>28</v>
      </c>
      <c r="M63" s="42">
        <v>0</v>
      </c>
      <c r="N63" s="93" t="s">
        <v>72</v>
      </c>
      <c r="O63" s="94" t="s">
        <v>73</v>
      </c>
      <c r="P63" s="88">
        <v>1018</v>
      </c>
      <c r="Q63" s="88"/>
      <c r="R63" s="40"/>
      <c r="S63" s="40"/>
      <c r="T63" s="88">
        <v>1018</v>
      </c>
      <c r="U63" s="40"/>
    </row>
    <row r="64" spans="1:21" ht="14" x14ac:dyDescent="0.2">
      <c r="A64" s="40" t="s">
        <v>268</v>
      </c>
      <c r="B64" s="88" t="s">
        <v>267</v>
      </c>
      <c r="C64" s="88" t="s">
        <v>1402</v>
      </c>
      <c r="D64" s="42">
        <v>1</v>
      </c>
      <c r="E64" s="42">
        <v>1</v>
      </c>
      <c r="F64" s="42">
        <v>0</v>
      </c>
      <c r="G64" s="88" t="s">
        <v>70</v>
      </c>
      <c r="H64" s="42">
        <v>1</v>
      </c>
      <c r="I64" s="42">
        <v>0</v>
      </c>
      <c r="J64" s="42">
        <v>1</v>
      </c>
      <c r="K64" s="42">
        <v>0</v>
      </c>
      <c r="L64" s="88" t="s">
        <v>78</v>
      </c>
      <c r="M64" s="42">
        <v>0</v>
      </c>
      <c r="N64" s="93" t="s">
        <v>72</v>
      </c>
      <c r="O64" s="94" t="s">
        <v>73</v>
      </c>
      <c r="P64" s="88">
        <v>1019</v>
      </c>
      <c r="Q64" s="88"/>
      <c r="R64" s="40"/>
      <c r="S64" s="40"/>
      <c r="T64" s="88">
        <v>1019</v>
      </c>
      <c r="U64" s="40"/>
    </row>
    <row r="65" spans="1:29" ht="14" x14ac:dyDescent="0.2">
      <c r="A65" s="40" t="s">
        <v>269</v>
      </c>
      <c r="B65" s="88" t="s">
        <v>267</v>
      </c>
      <c r="C65" s="88" t="s">
        <v>1403</v>
      </c>
      <c r="D65" s="42">
        <v>0</v>
      </c>
      <c r="E65" s="42">
        <v>1</v>
      </c>
      <c r="F65" s="42">
        <v>0</v>
      </c>
      <c r="G65" s="88" t="s">
        <v>22</v>
      </c>
      <c r="H65" s="42">
        <v>0</v>
      </c>
      <c r="I65" s="42">
        <v>0</v>
      </c>
      <c r="J65" s="42">
        <v>1</v>
      </c>
      <c r="K65" s="42">
        <v>0</v>
      </c>
      <c r="L65" s="88" t="s">
        <v>32</v>
      </c>
      <c r="M65" s="42">
        <v>0</v>
      </c>
      <c r="N65" s="93" t="s">
        <v>72</v>
      </c>
      <c r="O65" s="94" t="s">
        <v>73</v>
      </c>
      <c r="P65" s="88">
        <v>1020</v>
      </c>
      <c r="Q65" s="88"/>
      <c r="R65" s="40"/>
      <c r="S65" s="40"/>
      <c r="T65" s="88">
        <v>1020</v>
      </c>
      <c r="U65" s="40"/>
    </row>
    <row r="66" spans="1:29" ht="14" x14ac:dyDescent="0.2">
      <c r="A66" s="40" t="s">
        <v>270</v>
      </c>
      <c r="B66" s="88" t="s">
        <v>271</v>
      </c>
      <c r="C66" s="88" t="s">
        <v>272</v>
      </c>
      <c r="D66" s="42">
        <v>1</v>
      </c>
      <c r="E66" s="42">
        <v>0</v>
      </c>
      <c r="F66" s="42">
        <v>0</v>
      </c>
      <c r="G66" s="88" t="s">
        <v>70</v>
      </c>
      <c r="H66" s="42">
        <v>1</v>
      </c>
      <c r="I66" s="42">
        <v>1</v>
      </c>
      <c r="J66" s="42">
        <v>0</v>
      </c>
      <c r="K66" s="42">
        <v>0</v>
      </c>
      <c r="L66" s="88" t="s">
        <v>71</v>
      </c>
      <c r="M66" s="42">
        <v>1</v>
      </c>
      <c r="N66" s="93" t="s">
        <v>72</v>
      </c>
      <c r="O66" s="94" t="s">
        <v>73</v>
      </c>
      <c r="P66" s="88">
        <v>1025</v>
      </c>
      <c r="Q66" s="88"/>
      <c r="R66" s="40"/>
      <c r="S66" s="40"/>
      <c r="T66" s="88">
        <v>1025</v>
      </c>
      <c r="U66" s="40"/>
    </row>
    <row r="67" spans="1:29" ht="14" x14ac:dyDescent="0.2">
      <c r="A67" s="40" t="s">
        <v>273</v>
      </c>
      <c r="B67" s="88" t="s">
        <v>271</v>
      </c>
      <c r="C67" s="88" t="s">
        <v>274</v>
      </c>
      <c r="D67" s="42">
        <v>1</v>
      </c>
      <c r="E67" s="42">
        <v>1</v>
      </c>
      <c r="F67" s="42">
        <v>0</v>
      </c>
      <c r="G67" s="88" t="s">
        <v>70</v>
      </c>
      <c r="H67" s="42">
        <v>1</v>
      </c>
      <c r="I67" s="42">
        <v>0</v>
      </c>
      <c r="J67" s="42">
        <v>1</v>
      </c>
      <c r="K67" s="42">
        <v>0</v>
      </c>
      <c r="L67" s="88" t="s">
        <v>78</v>
      </c>
      <c r="M67" s="42">
        <v>1</v>
      </c>
      <c r="N67" s="93" t="s">
        <v>72</v>
      </c>
      <c r="O67" s="94" t="s">
        <v>73</v>
      </c>
      <c r="P67" s="88">
        <v>1041</v>
      </c>
      <c r="Q67" s="88"/>
      <c r="R67" s="40"/>
      <c r="S67" s="40"/>
      <c r="T67" s="88">
        <v>1041</v>
      </c>
      <c r="U67" s="40"/>
    </row>
    <row r="68" spans="1:29" x14ac:dyDescent="0.2">
      <c r="B68" s="40"/>
      <c r="C68" s="40"/>
      <c r="E68" s="40"/>
      <c r="F68" s="40"/>
      <c r="G68" s="40"/>
    </row>
    <row r="69" spans="1:29" x14ac:dyDescent="0.2">
      <c r="B69" s="40"/>
      <c r="C69" s="40"/>
      <c r="E69" s="40"/>
      <c r="F69" s="40"/>
      <c r="G69" s="40"/>
      <c r="I69" s="40"/>
      <c r="O69" s="104"/>
    </row>
    <row r="70" spans="1:29" x14ac:dyDescent="0.2">
      <c r="B70" s="40"/>
      <c r="C70" s="40"/>
      <c r="E70" s="40"/>
      <c r="F70" s="40"/>
      <c r="G70" s="40"/>
      <c r="I70" s="40"/>
      <c r="O70" s="40"/>
    </row>
    <row r="71" spans="1:29" x14ac:dyDescent="0.2">
      <c r="B71" s="40"/>
      <c r="C71" s="40"/>
      <c r="E71" s="40"/>
      <c r="F71" s="40"/>
      <c r="G71" s="40"/>
      <c r="I71" s="40"/>
      <c r="O71" s="40"/>
    </row>
    <row r="72" spans="1:29" x14ac:dyDescent="0.2">
      <c r="B72" s="40"/>
      <c r="C72" s="40"/>
      <c r="E72" s="40"/>
      <c r="F72" s="40"/>
      <c r="G72" s="40"/>
      <c r="I72" s="40"/>
      <c r="O72" s="40"/>
    </row>
    <row r="73" spans="1:29" x14ac:dyDescent="0.2">
      <c r="B73" s="40"/>
      <c r="C73" s="40"/>
      <c r="E73" s="40"/>
      <c r="F73" s="40"/>
      <c r="G73" s="40"/>
      <c r="I73" s="40"/>
      <c r="O73" s="40"/>
      <c r="AA73" s="98"/>
      <c r="AC73" s="41"/>
    </row>
    <row r="74" spans="1:29" x14ac:dyDescent="0.2">
      <c r="B74" s="40"/>
      <c r="C74" s="40"/>
      <c r="E74" s="40"/>
      <c r="F74" s="40"/>
      <c r="G74" s="40"/>
      <c r="I74" s="40"/>
      <c r="O74" s="40"/>
      <c r="AA74" s="98"/>
      <c r="AC74" s="41"/>
    </row>
    <row r="75" spans="1:29" x14ac:dyDescent="0.2">
      <c r="B75" s="40"/>
      <c r="C75" s="40"/>
      <c r="E75" s="40"/>
      <c r="F75" s="40"/>
      <c r="G75" s="40"/>
      <c r="I75" s="40"/>
      <c r="O75" s="40"/>
    </row>
    <row r="76" spans="1:29" x14ac:dyDescent="0.2">
      <c r="B76" s="40"/>
      <c r="C76" s="40"/>
      <c r="E76" s="40"/>
      <c r="F76" s="40"/>
      <c r="G76" s="40"/>
    </row>
    <row r="77" spans="1:29" x14ac:dyDescent="0.2">
      <c r="B77" s="40"/>
      <c r="C77" s="40"/>
      <c r="E77" s="40"/>
      <c r="F77" s="40"/>
      <c r="G77" s="40"/>
    </row>
    <row r="78" spans="1:29" x14ac:dyDescent="0.2">
      <c r="B78" s="40"/>
      <c r="C78" s="40"/>
      <c r="E78" s="40"/>
      <c r="F78" s="40"/>
      <c r="G78" s="40"/>
    </row>
    <row r="79" spans="1:29" x14ac:dyDescent="0.2">
      <c r="B79" s="40"/>
      <c r="C79" s="40"/>
      <c r="E79" s="40"/>
      <c r="F79" s="40"/>
      <c r="G79" s="40"/>
      <c r="I79" s="40"/>
      <c r="O79" s="40"/>
    </row>
    <row r="80" spans="1:29" x14ac:dyDescent="0.2">
      <c r="B80" s="40"/>
      <c r="C80" s="40"/>
      <c r="E80" s="40"/>
      <c r="F80" s="40"/>
      <c r="G80" s="40"/>
    </row>
    <row r="81" spans="2:15" x14ac:dyDescent="0.2">
      <c r="B81" s="40"/>
      <c r="C81" s="40"/>
      <c r="E81" s="40"/>
      <c r="F81" s="40"/>
      <c r="G81" s="40"/>
      <c r="I81" s="40"/>
      <c r="O81" s="40"/>
    </row>
    <row r="82" spans="2:15" x14ac:dyDescent="0.2">
      <c r="B82" s="40"/>
      <c r="C82" s="40"/>
      <c r="E82" s="40"/>
      <c r="F82" s="40"/>
      <c r="G82" s="40"/>
    </row>
    <row r="83" spans="2:15" x14ac:dyDescent="0.2">
      <c r="B83" s="40"/>
      <c r="C83" s="40"/>
      <c r="E83" s="40"/>
      <c r="F83" s="40"/>
      <c r="G83" s="40"/>
      <c r="I83" s="40"/>
      <c r="O83" s="40"/>
    </row>
    <row r="84" spans="2:15" x14ac:dyDescent="0.2">
      <c r="B84" s="40"/>
      <c r="C84" s="40"/>
      <c r="E84" s="40"/>
      <c r="F84" s="40"/>
      <c r="G84" s="40"/>
      <c r="I84" s="40"/>
      <c r="O84" s="40"/>
    </row>
    <row r="85" spans="2:15" x14ac:dyDescent="0.2">
      <c r="B85" s="40"/>
      <c r="C85" s="40"/>
      <c r="E85" s="40"/>
      <c r="F85" s="40"/>
      <c r="G85" s="40"/>
      <c r="I85" s="40"/>
      <c r="O85" s="40"/>
    </row>
    <row r="86" spans="2:15" x14ac:dyDescent="0.2">
      <c r="B86" s="40"/>
      <c r="C86" s="40"/>
      <c r="E86" s="40"/>
      <c r="F86" s="40"/>
      <c r="G86" s="40"/>
      <c r="I86" s="40"/>
      <c r="O86" s="40"/>
    </row>
    <row r="87" spans="2:15" x14ac:dyDescent="0.2">
      <c r="B87" s="40"/>
      <c r="C87" s="40"/>
      <c r="E87" s="40"/>
      <c r="F87" s="40"/>
      <c r="G87" s="40"/>
      <c r="I87" s="40"/>
      <c r="O87" s="40"/>
    </row>
    <row r="88" spans="2:15" x14ac:dyDescent="0.2">
      <c r="B88" s="40"/>
      <c r="C88" s="40"/>
      <c r="E88" s="40"/>
      <c r="F88" s="40"/>
      <c r="G88" s="40"/>
      <c r="I88" s="40"/>
      <c r="O88" s="40"/>
    </row>
    <row r="89" spans="2:15" x14ac:dyDescent="0.2">
      <c r="B89" s="40"/>
      <c r="C89" s="40"/>
      <c r="E89" s="40"/>
      <c r="F89" s="40"/>
      <c r="G89" s="40"/>
      <c r="I89" s="40"/>
      <c r="O89" s="40"/>
    </row>
    <row r="90" spans="2:15" x14ac:dyDescent="0.2">
      <c r="B90" s="40"/>
      <c r="C90" s="40"/>
      <c r="E90" s="40"/>
      <c r="F90" s="40"/>
      <c r="G90" s="40"/>
      <c r="I90" s="40"/>
      <c r="O90" s="40"/>
    </row>
    <row r="91" spans="2:15" x14ac:dyDescent="0.2">
      <c r="B91" s="40"/>
      <c r="C91" s="40"/>
      <c r="E91" s="40"/>
      <c r="F91" s="40"/>
      <c r="G91" s="40"/>
    </row>
    <row r="92" spans="2:15" x14ac:dyDescent="0.2">
      <c r="B92" s="40"/>
      <c r="C92" s="40"/>
      <c r="E92" s="40"/>
      <c r="F92" s="40"/>
      <c r="G92" s="40"/>
      <c r="I92" s="40"/>
      <c r="O92" s="40"/>
    </row>
    <row r="93" spans="2:15" x14ac:dyDescent="0.2">
      <c r="B93" s="40"/>
      <c r="C93" s="40"/>
      <c r="E93" s="40"/>
      <c r="F93" s="40"/>
      <c r="G93" s="40"/>
    </row>
    <row r="94" spans="2:15" x14ac:dyDescent="0.2">
      <c r="B94" s="40"/>
      <c r="C94" s="40"/>
      <c r="E94" s="40"/>
      <c r="F94" s="40"/>
      <c r="G94" s="40"/>
      <c r="I94" s="40"/>
      <c r="O94" s="40"/>
    </row>
    <row r="95" spans="2:15" x14ac:dyDescent="0.2">
      <c r="B95" s="40"/>
      <c r="C95" s="40"/>
      <c r="E95" s="40"/>
      <c r="F95" s="40"/>
      <c r="G95" s="40"/>
      <c r="I95" s="40"/>
      <c r="O95" s="40"/>
    </row>
    <row r="96" spans="2:15" x14ac:dyDescent="0.2">
      <c r="B96" s="40"/>
      <c r="C96" s="40"/>
      <c r="E96" s="40"/>
      <c r="F96" s="40"/>
      <c r="G96" s="40"/>
      <c r="I96" s="40"/>
      <c r="O96" s="40"/>
    </row>
    <row r="97" spans="2:39" x14ac:dyDescent="0.2">
      <c r="B97" s="40"/>
      <c r="C97" s="40"/>
      <c r="E97" s="40"/>
      <c r="F97" s="40"/>
      <c r="G97" s="40"/>
      <c r="I97" s="40"/>
      <c r="O97" s="40"/>
    </row>
    <row r="98" spans="2:39" x14ac:dyDescent="0.2">
      <c r="B98" s="40"/>
      <c r="C98" s="40"/>
      <c r="E98" s="40"/>
      <c r="F98" s="40"/>
      <c r="G98" s="40"/>
    </row>
    <row r="99" spans="2:39" x14ac:dyDescent="0.2">
      <c r="B99" s="40"/>
      <c r="C99" s="40"/>
      <c r="E99" s="40"/>
      <c r="F99" s="40"/>
      <c r="G99" s="40"/>
    </row>
    <row r="100" spans="2:39" x14ac:dyDescent="0.2">
      <c r="B100" s="40"/>
      <c r="C100" s="40"/>
      <c r="E100" s="40"/>
      <c r="F100" s="40"/>
      <c r="G100" s="40"/>
      <c r="I100" s="40"/>
      <c r="O100" s="40"/>
    </row>
    <row r="101" spans="2:39" x14ac:dyDescent="0.2">
      <c r="B101" s="40"/>
      <c r="C101" s="40"/>
      <c r="E101" s="40"/>
      <c r="F101" s="40"/>
      <c r="G101" s="40"/>
      <c r="I101" s="40"/>
      <c r="O101" s="40"/>
      <c r="AM101" s="105"/>
    </row>
    <row r="102" spans="2:39" x14ac:dyDescent="0.2">
      <c r="B102" s="40"/>
      <c r="C102" s="40"/>
      <c r="E102" s="40"/>
      <c r="F102" s="40"/>
      <c r="G102" s="40"/>
    </row>
    <row r="103" spans="2:39" x14ac:dyDescent="0.2">
      <c r="B103" s="40"/>
      <c r="C103" s="40"/>
      <c r="E103" s="40"/>
      <c r="F103" s="40"/>
      <c r="G103" s="40"/>
    </row>
    <row r="104" spans="2:39" x14ac:dyDescent="0.2">
      <c r="B104" s="40"/>
      <c r="C104" s="40"/>
      <c r="E104" s="40"/>
      <c r="F104" s="40"/>
      <c r="G104" s="40"/>
    </row>
    <row r="105" spans="2:39" x14ac:dyDescent="0.2">
      <c r="B105" s="40"/>
      <c r="C105" s="40"/>
      <c r="E105" s="40"/>
      <c r="F105" s="40"/>
      <c r="G105" s="40"/>
    </row>
    <row r="106" spans="2:39" x14ac:dyDescent="0.2">
      <c r="B106" s="40"/>
      <c r="C106" s="40"/>
      <c r="E106" s="40"/>
      <c r="F106" s="40"/>
      <c r="G106" s="40"/>
    </row>
    <row r="107" spans="2:39" x14ac:dyDescent="0.2">
      <c r="B107" s="40"/>
      <c r="C107" s="40"/>
      <c r="E107" s="40"/>
      <c r="F107" s="40"/>
      <c r="G107" s="40"/>
      <c r="I107" s="40"/>
      <c r="O107" s="40"/>
    </row>
    <row r="108" spans="2:39" x14ac:dyDescent="0.2">
      <c r="B108" s="40"/>
      <c r="C108" s="40"/>
      <c r="E108" s="40"/>
      <c r="F108" s="40"/>
      <c r="G108" s="40"/>
    </row>
    <row r="109" spans="2:39" x14ac:dyDescent="0.2">
      <c r="B109" s="40"/>
      <c r="C109" s="40"/>
      <c r="E109" s="40"/>
      <c r="F109" s="40"/>
      <c r="G109" s="40"/>
    </row>
    <row r="110" spans="2:39" x14ac:dyDescent="0.2">
      <c r="B110" s="40"/>
      <c r="C110" s="40"/>
      <c r="E110" s="40"/>
      <c r="F110" s="40"/>
      <c r="G110" s="40"/>
      <c r="I110" s="40"/>
      <c r="O110" s="40"/>
    </row>
    <row r="111" spans="2:39" x14ac:dyDescent="0.2">
      <c r="B111" s="40"/>
      <c r="C111" s="40"/>
      <c r="E111" s="40"/>
      <c r="F111" s="40"/>
      <c r="G111" s="40"/>
      <c r="I111" s="40"/>
      <c r="O111" s="40"/>
    </row>
    <row r="112" spans="2:39" x14ac:dyDescent="0.2">
      <c r="B112" s="40"/>
      <c r="C112" s="40"/>
      <c r="E112" s="40"/>
      <c r="F112" s="40"/>
      <c r="G112" s="40"/>
      <c r="I112" s="40"/>
      <c r="O112" s="40"/>
    </row>
    <row r="113" spans="2:27" x14ac:dyDescent="0.2">
      <c r="B113" s="40"/>
      <c r="C113" s="40"/>
      <c r="E113" s="40"/>
      <c r="F113" s="40"/>
      <c r="G113" s="40"/>
      <c r="I113" s="40"/>
      <c r="O113" s="40"/>
    </row>
    <row r="114" spans="2:27" x14ac:dyDescent="0.2">
      <c r="B114" s="40"/>
      <c r="C114" s="40"/>
      <c r="E114" s="40"/>
      <c r="F114" s="40"/>
      <c r="G114" s="40"/>
      <c r="I114" s="40"/>
      <c r="O114" s="40"/>
    </row>
    <row r="115" spans="2:27" x14ac:dyDescent="0.2">
      <c r="B115" s="40"/>
      <c r="C115" s="40"/>
      <c r="E115" s="40"/>
      <c r="F115" s="40"/>
      <c r="G115" s="40"/>
      <c r="I115" s="40"/>
      <c r="O115" s="40"/>
    </row>
    <row r="116" spans="2:27" x14ac:dyDescent="0.2">
      <c r="B116" s="40"/>
      <c r="C116" s="40"/>
      <c r="E116" s="40"/>
      <c r="F116" s="40"/>
      <c r="G116" s="40"/>
      <c r="I116" s="40"/>
      <c r="O116" s="40"/>
    </row>
    <row r="117" spans="2:27" x14ac:dyDescent="0.2">
      <c r="B117" s="40"/>
      <c r="C117" s="40"/>
      <c r="E117" s="40"/>
      <c r="F117" s="40"/>
      <c r="G117" s="40"/>
      <c r="I117" s="40"/>
      <c r="O117" s="40"/>
    </row>
    <row r="118" spans="2:27" x14ac:dyDescent="0.2">
      <c r="B118" s="40"/>
      <c r="C118" s="40"/>
      <c r="E118" s="40"/>
      <c r="F118" s="40"/>
      <c r="G118" s="40"/>
      <c r="I118" s="40"/>
      <c r="O118" s="40"/>
    </row>
    <row r="119" spans="2:27" x14ac:dyDescent="0.2">
      <c r="B119" s="40"/>
      <c r="C119" s="40"/>
      <c r="E119" s="40"/>
      <c r="F119" s="40"/>
      <c r="G119" s="40"/>
    </row>
    <row r="120" spans="2:27" x14ac:dyDescent="0.2">
      <c r="B120" s="40"/>
      <c r="C120" s="40"/>
      <c r="E120" s="40"/>
      <c r="F120" s="40"/>
      <c r="G120" s="40"/>
      <c r="I120" s="40"/>
      <c r="O120" s="40"/>
    </row>
    <row r="121" spans="2:27" x14ac:dyDescent="0.2">
      <c r="B121" s="40"/>
      <c r="C121" s="40"/>
      <c r="E121" s="40"/>
      <c r="F121" s="40"/>
      <c r="G121" s="40"/>
      <c r="I121" s="40"/>
      <c r="O121" s="40"/>
    </row>
    <row r="122" spans="2:27" x14ac:dyDescent="0.2">
      <c r="B122" s="40"/>
      <c r="C122" s="40"/>
      <c r="E122" s="40"/>
      <c r="F122" s="40"/>
      <c r="G122" s="40"/>
      <c r="I122" s="40"/>
      <c r="O122" s="40"/>
    </row>
    <row r="123" spans="2:27" x14ac:dyDescent="0.2">
      <c r="B123" s="40"/>
      <c r="C123" s="40"/>
      <c r="E123" s="40"/>
      <c r="F123" s="40"/>
      <c r="G123" s="40"/>
      <c r="AA123" s="98"/>
    </row>
    <row r="124" spans="2:27" x14ac:dyDescent="0.2">
      <c r="B124" s="40"/>
      <c r="C124" s="40"/>
      <c r="E124" s="40"/>
      <c r="F124" s="40"/>
      <c r="G124" s="40"/>
      <c r="AA124" s="98"/>
    </row>
    <row r="125" spans="2:27" x14ac:dyDescent="0.2">
      <c r="B125" s="40"/>
      <c r="C125" s="40"/>
      <c r="E125" s="40"/>
      <c r="F125" s="40"/>
      <c r="G125" s="40"/>
      <c r="AA125" s="98"/>
    </row>
    <row r="126" spans="2:27" x14ac:dyDescent="0.2">
      <c r="B126" s="40"/>
      <c r="C126" s="40"/>
      <c r="E126" s="40"/>
      <c r="F126" s="40"/>
      <c r="G126" s="40"/>
      <c r="AA126" s="98"/>
    </row>
    <row r="127" spans="2:27" x14ac:dyDescent="0.2">
      <c r="B127" s="40"/>
      <c r="C127" s="40"/>
      <c r="E127" s="40"/>
      <c r="F127" s="40"/>
      <c r="G127" s="40"/>
      <c r="AA127" s="98"/>
    </row>
    <row r="128" spans="2:27" x14ac:dyDescent="0.2">
      <c r="B128" s="40"/>
      <c r="C128" s="40"/>
      <c r="E128" s="40"/>
      <c r="F128" s="40"/>
      <c r="G128" s="40"/>
      <c r="I128" s="40"/>
      <c r="O128" s="40"/>
      <c r="AA128" s="98"/>
    </row>
    <row r="129" spans="2:39" x14ac:dyDescent="0.2">
      <c r="B129" s="40"/>
      <c r="C129" s="40"/>
      <c r="E129" s="40"/>
      <c r="F129" s="40"/>
      <c r="G129" s="40"/>
      <c r="I129" s="40"/>
      <c r="O129" s="40"/>
      <c r="AA129" s="98"/>
    </row>
    <row r="130" spans="2:39" x14ac:dyDescent="0.2">
      <c r="B130" s="40"/>
      <c r="C130" s="40"/>
      <c r="E130" s="40"/>
      <c r="F130" s="40"/>
      <c r="G130" s="40"/>
      <c r="I130" s="40"/>
      <c r="O130" s="40"/>
      <c r="AA130" s="98"/>
    </row>
    <row r="131" spans="2:39" x14ac:dyDescent="0.2">
      <c r="B131" s="40"/>
      <c r="C131" s="40"/>
      <c r="E131" s="40"/>
      <c r="F131" s="40"/>
      <c r="G131" s="40"/>
      <c r="I131" s="40"/>
      <c r="O131" s="40"/>
      <c r="AA131" s="98"/>
    </row>
    <row r="132" spans="2:39" x14ac:dyDescent="0.2">
      <c r="B132" s="40"/>
      <c r="C132" s="40"/>
      <c r="E132" s="40"/>
      <c r="F132" s="40"/>
      <c r="G132" s="40"/>
      <c r="I132" s="40"/>
      <c r="O132" s="40"/>
      <c r="AA132" s="98"/>
    </row>
    <row r="133" spans="2:39" x14ac:dyDescent="0.2">
      <c r="B133" s="40"/>
      <c r="C133" s="40"/>
      <c r="E133" s="40"/>
      <c r="F133" s="40"/>
      <c r="G133" s="40"/>
    </row>
    <row r="134" spans="2:39" x14ac:dyDescent="0.2">
      <c r="B134" s="40"/>
      <c r="C134" s="40"/>
      <c r="E134" s="40"/>
      <c r="F134" s="40"/>
      <c r="G134" s="40"/>
      <c r="I134" s="40"/>
      <c r="O134" s="40"/>
      <c r="AA134" s="98"/>
    </row>
    <row r="135" spans="2:39" x14ac:dyDescent="0.2">
      <c r="B135" s="40"/>
      <c r="C135" s="40"/>
      <c r="E135" s="40"/>
      <c r="F135" s="40"/>
      <c r="G135" s="40"/>
    </row>
    <row r="136" spans="2:39" x14ac:dyDescent="0.2">
      <c r="B136" s="40"/>
      <c r="C136" s="40"/>
      <c r="E136" s="40"/>
      <c r="F136" s="40"/>
      <c r="G136" s="40"/>
      <c r="I136" s="40"/>
      <c r="O136" s="40"/>
      <c r="AA136" s="98"/>
    </row>
    <row r="137" spans="2:39" x14ac:dyDescent="0.2">
      <c r="B137" s="40"/>
      <c r="C137" s="40"/>
      <c r="E137" s="40"/>
      <c r="F137" s="40"/>
      <c r="G137" s="40"/>
      <c r="I137" s="40"/>
      <c r="O137" s="40"/>
      <c r="AA137" s="98"/>
    </row>
    <row r="138" spans="2:39" x14ac:dyDescent="0.2">
      <c r="B138" s="40"/>
      <c r="C138" s="40"/>
      <c r="E138" s="40"/>
      <c r="F138" s="40"/>
      <c r="G138" s="40"/>
      <c r="I138" s="40"/>
      <c r="O138" s="40"/>
      <c r="AA138" s="98"/>
    </row>
    <row r="139" spans="2:39" x14ac:dyDescent="0.2">
      <c r="B139" s="40"/>
      <c r="C139" s="40"/>
      <c r="E139" s="40"/>
      <c r="F139" s="40"/>
      <c r="G139" s="40"/>
      <c r="I139" s="40"/>
      <c r="O139" s="40"/>
      <c r="AA139" s="98"/>
    </row>
    <row r="140" spans="2:39" x14ac:dyDescent="0.2">
      <c r="B140" s="40"/>
      <c r="C140" s="40"/>
      <c r="E140" s="40"/>
      <c r="F140" s="40"/>
      <c r="G140" s="40"/>
      <c r="I140" s="40"/>
      <c r="O140" s="40"/>
    </row>
    <row r="141" spans="2:39" x14ac:dyDescent="0.2">
      <c r="B141" s="40"/>
      <c r="C141" s="40"/>
      <c r="E141" s="40"/>
      <c r="F141" s="40"/>
      <c r="G141" s="40"/>
      <c r="I141" s="40"/>
      <c r="O141" s="40"/>
    </row>
    <row r="142" spans="2:39" x14ac:dyDescent="0.2">
      <c r="B142" s="40"/>
      <c r="C142" s="40"/>
      <c r="E142" s="40"/>
      <c r="F142" s="40"/>
      <c r="G142" s="40"/>
    </row>
    <row r="143" spans="2:39" x14ac:dyDescent="0.2">
      <c r="B143" s="40"/>
      <c r="C143" s="40"/>
      <c r="E143" s="40"/>
      <c r="F143" s="40"/>
      <c r="G143" s="40"/>
      <c r="AM143" s="97"/>
    </row>
    <row r="144" spans="2:39" x14ac:dyDescent="0.2">
      <c r="B144" s="40"/>
      <c r="C144" s="40"/>
      <c r="E144" s="40"/>
      <c r="F144" s="40"/>
      <c r="G144" s="40"/>
    </row>
    <row r="145" spans="2:27" x14ac:dyDescent="0.2">
      <c r="B145" s="40"/>
      <c r="C145" s="40"/>
      <c r="E145" s="40"/>
      <c r="F145" s="40"/>
      <c r="G145" s="40"/>
    </row>
    <row r="146" spans="2:27" x14ac:dyDescent="0.2">
      <c r="B146" s="40"/>
      <c r="C146" s="40"/>
      <c r="E146" s="40"/>
      <c r="F146" s="40"/>
      <c r="G146" s="40"/>
      <c r="I146" s="40"/>
      <c r="O146" s="40"/>
    </row>
    <row r="147" spans="2:27" x14ac:dyDescent="0.2">
      <c r="B147" s="40"/>
      <c r="C147" s="40"/>
      <c r="E147" s="40"/>
      <c r="F147" s="40"/>
      <c r="G147" s="40"/>
      <c r="I147" s="40"/>
      <c r="O147" s="40"/>
      <c r="AA147" s="98"/>
    </row>
    <row r="148" spans="2:27" x14ac:dyDescent="0.2">
      <c r="B148" s="40"/>
      <c r="C148" s="40"/>
      <c r="E148" s="40"/>
      <c r="F148" s="40"/>
      <c r="G148" s="40"/>
      <c r="I148" s="40"/>
      <c r="O148" s="40"/>
      <c r="AA148" s="98"/>
    </row>
    <row r="149" spans="2:27" x14ac:dyDescent="0.2">
      <c r="B149" s="40"/>
      <c r="C149" s="40"/>
      <c r="E149" s="40"/>
      <c r="F149" s="40"/>
      <c r="G149" s="40"/>
      <c r="I149" s="40"/>
      <c r="O149" s="40"/>
      <c r="AA149" s="98"/>
    </row>
    <row r="150" spans="2:27" x14ac:dyDescent="0.2">
      <c r="B150" s="40"/>
      <c r="C150" s="40"/>
      <c r="E150" s="40"/>
      <c r="F150" s="40"/>
      <c r="G150" s="40"/>
      <c r="I150" s="40"/>
      <c r="O150" s="40"/>
    </row>
    <row r="151" spans="2:27" x14ac:dyDescent="0.2">
      <c r="B151" s="40"/>
      <c r="C151" s="40"/>
      <c r="E151" s="40"/>
      <c r="F151" s="40"/>
      <c r="G151" s="40"/>
      <c r="I151" s="40"/>
      <c r="O151" s="40"/>
      <c r="AA151" s="98"/>
    </row>
    <row r="152" spans="2:27" x14ac:dyDescent="0.2">
      <c r="B152" s="40"/>
      <c r="C152" s="40"/>
      <c r="E152" s="40"/>
      <c r="F152" s="40"/>
      <c r="G152" s="40"/>
      <c r="I152" s="40"/>
      <c r="O152" s="40"/>
      <c r="AA152" s="98"/>
    </row>
    <row r="153" spans="2:27" x14ac:dyDescent="0.2">
      <c r="B153" s="40"/>
      <c r="C153" s="40"/>
      <c r="E153" s="40"/>
      <c r="F153" s="40"/>
      <c r="G153" s="40"/>
      <c r="I153" s="40"/>
      <c r="O153" s="40"/>
      <c r="AA153" s="98"/>
    </row>
    <row r="154" spans="2:27" x14ac:dyDescent="0.2">
      <c r="B154" s="40"/>
      <c r="C154" s="40"/>
      <c r="E154" s="40"/>
      <c r="F154" s="40"/>
      <c r="G154" s="40"/>
      <c r="I154" s="40"/>
      <c r="O154" s="40"/>
      <c r="AA154" s="98"/>
    </row>
    <row r="155" spans="2:27" x14ac:dyDescent="0.2">
      <c r="B155" s="40"/>
      <c r="C155" s="40"/>
      <c r="E155" s="40"/>
      <c r="F155" s="40"/>
      <c r="G155" s="40"/>
      <c r="I155" s="40"/>
      <c r="O155" s="40"/>
      <c r="AA155" s="98"/>
    </row>
    <row r="156" spans="2:27" x14ac:dyDescent="0.2">
      <c r="B156" s="40"/>
      <c r="C156" s="40"/>
      <c r="E156" s="40"/>
      <c r="F156" s="40"/>
      <c r="G156" s="40"/>
      <c r="I156" s="40"/>
      <c r="O156" s="40"/>
      <c r="AA156" s="98"/>
    </row>
    <row r="157" spans="2:27" x14ac:dyDescent="0.2">
      <c r="B157" s="40"/>
      <c r="C157" s="40"/>
      <c r="E157" s="40"/>
      <c r="F157" s="40"/>
      <c r="G157" s="40"/>
      <c r="I157" s="40"/>
      <c r="O157" s="40"/>
    </row>
    <row r="158" spans="2:27" x14ac:dyDescent="0.2">
      <c r="B158" s="40"/>
      <c r="C158" s="40"/>
      <c r="E158" s="40"/>
      <c r="F158" s="40"/>
      <c r="G158" s="40"/>
      <c r="I158" s="40"/>
      <c r="O158" s="40"/>
    </row>
    <row r="159" spans="2:27" x14ac:dyDescent="0.2">
      <c r="B159" s="40"/>
      <c r="C159" s="40"/>
      <c r="E159" s="40"/>
      <c r="F159" s="40"/>
      <c r="G159" s="40"/>
      <c r="I159" s="40"/>
      <c r="O159" s="40"/>
      <c r="AA159" s="98"/>
    </row>
    <row r="160" spans="2:27" x14ac:dyDescent="0.2">
      <c r="B160" s="40"/>
      <c r="C160" s="40"/>
      <c r="E160" s="40"/>
      <c r="F160" s="40"/>
      <c r="G160" s="40"/>
      <c r="I160" s="40"/>
      <c r="O160" s="40"/>
      <c r="AA160" s="98"/>
    </row>
    <row r="161" spans="2:15" x14ac:dyDescent="0.2">
      <c r="B161" s="40"/>
      <c r="C161" s="40"/>
      <c r="E161" s="40"/>
      <c r="F161" s="40"/>
      <c r="G161" s="40"/>
      <c r="I161" s="40"/>
      <c r="O161" s="40"/>
    </row>
    <row r="162" spans="2:15" x14ac:dyDescent="0.2">
      <c r="B162" s="40"/>
      <c r="C162" s="40"/>
      <c r="E162" s="40"/>
      <c r="F162" s="40"/>
      <c r="G162" s="40"/>
      <c r="I162" s="40"/>
      <c r="O162" s="40"/>
    </row>
    <row r="163" spans="2:15" x14ac:dyDescent="0.2">
      <c r="B163" s="40"/>
      <c r="C163" s="40"/>
      <c r="E163" s="40"/>
      <c r="F163" s="40"/>
      <c r="G163" s="40"/>
      <c r="I163" s="40"/>
      <c r="O163" s="40"/>
    </row>
    <row r="164" spans="2:15" x14ac:dyDescent="0.2">
      <c r="B164" s="40"/>
      <c r="C164" s="40"/>
      <c r="E164" s="40"/>
      <c r="F164" s="40"/>
      <c r="G164" s="40"/>
      <c r="I164" s="40"/>
      <c r="O164" s="40"/>
    </row>
    <row r="165" spans="2:15" x14ac:dyDescent="0.2">
      <c r="B165" s="40"/>
      <c r="C165" s="40"/>
      <c r="E165" s="40"/>
      <c r="F165" s="40"/>
      <c r="G165" s="40"/>
      <c r="I165" s="40"/>
      <c r="O165" s="40"/>
    </row>
    <row r="166" spans="2:15" x14ac:dyDescent="0.2">
      <c r="B166" s="40"/>
      <c r="C166" s="40"/>
      <c r="E166" s="40"/>
      <c r="F166" s="40"/>
      <c r="G166" s="40"/>
      <c r="I166" s="40"/>
      <c r="O166" s="40"/>
    </row>
    <row r="167" spans="2:15" x14ac:dyDescent="0.2">
      <c r="B167" s="40"/>
      <c r="C167" s="40"/>
      <c r="E167" s="40"/>
      <c r="F167" s="40"/>
      <c r="G167" s="40"/>
      <c r="I167" s="40"/>
      <c r="O167" s="40"/>
    </row>
    <row r="168" spans="2:15" x14ac:dyDescent="0.2">
      <c r="B168" s="40"/>
      <c r="C168" s="40"/>
      <c r="E168" s="40"/>
      <c r="F168" s="40"/>
      <c r="G168" s="40"/>
      <c r="I168" s="40"/>
      <c r="O168" s="40"/>
    </row>
    <row r="169" spans="2:15" x14ac:dyDescent="0.2">
      <c r="B169" s="40"/>
      <c r="C169" s="40"/>
      <c r="E169" s="40"/>
      <c r="F169" s="40"/>
      <c r="G169" s="40"/>
    </row>
    <row r="170" spans="2:15" x14ac:dyDescent="0.2">
      <c r="B170" s="40"/>
      <c r="C170" s="40"/>
      <c r="E170" s="40"/>
      <c r="F170" s="40"/>
      <c r="G170" s="40"/>
    </row>
    <row r="171" spans="2:15" x14ac:dyDescent="0.2">
      <c r="B171" s="40"/>
      <c r="C171" s="40"/>
      <c r="E171" s="40"/>
      <c r="F171" s="40"/>
      <c r="G171" s="40"/>
    </row>
    <row r="172" spans="2:15" x14ac:dyDescent="0.2">
      <c r="B172" s="40"/>
      <c r="C172" s="40"/>
      <c r="E172" s="40"/>
      <c r="F172" s="40"/>
      <c r="G172" s="40"/>
    </row>
    <row r="173" spans="2:15" x14ac:dyDescent="0.2">
      <c r="B173" s="40"/>
      <c r="C173" s="40"/>
      <c r="E173" s="40"/>
      <c r="F173" s="40"/>
      <c r="G173" s="40"/>
    </row>
    <row r="174" spans="2:15" x14ac:dyDescent="0.2">
      <c r="B174" s="40"/>
      <c r="C174" s="40"/>
      <c r="E174" s="40"/>
      <c r="F174" s="40"/>
      <c r="G174" s="40"/>
      <c r="I174" s="40"/>
      <c r="O174" s="40"/>
    </row>
    <row r="175" spans="2:15" x14ac:dyDescent="0.2">
      <c r="B175" s="40"/>
      <c r="C175" s="40"/>
      <c r="E175" s="40"/>
      <c r="F175" s="40"/>
      <c r="G175" s="40"/>
    </row>
    <row r="176" spans="2:15" x14ac:dyDescent="0.2">
      <c r="B176" s="40"/>
      <c r="C176" s="40"/>
      <c r="E176" s="40"/>
      <c r="F176" s="40"/>
      <c r="G176" s="40"/>
    </row>
    <row r="177" spans="2:15" x14ac:dyDescent="0.2">
      <c r="B177" s="40"/>
      <c r="C177" s="40"/>
      <c r="E177" s="40"/>
      <c r="F177" s="40"/>
      <c r="G177" s="40"/>
    </row>
    <row r="178" spans="2:15" x14ac:dyDescent="0.2">
      <c r="B178" s="40"/>
      <c r="C178" s="40"/>
      <c r="E178" s="40"/>
      <c r="F178" s="40"/>
      <c r="G178" s="40"/>
      <c r="I178" s="40"/>
      <c r="O178" s="40"/>
    </row>
    <row r="179" spans="2:15" x14ac:dyDescent="0.2">
      <c r="B179" s="40"/>
      <c r="C179" s="40"/>
      <c r="E179" s="40"/>
      <c r="F179" s="40"/>
      <c r="G179" s="40"/>
      <c r="I179" s="40"/>
      <c r="O179" s="40"/>
    </row>
    <row r="180" spans="2:15" x14ac:dyDescent="0.2">
      <c r="B180" s="40"/>
      <c r="C180" s="40"/>
      <c r="E180" s="40"/>
      <c r="F180" s="40"/>
      <c r="G180" s="40"/>
      <c r="I180" s="40"/>
      <c r="O180" s="40"/>
    </row>
    <row r="181" spans="2:15" x14ac:dyDescent="0.2">
      <c r="B181" s="40"/>
      <c r="C181" s="40"/>
      <c r="E181" s="40"/>
      <c r="F181" s="40"/>
      <c r="G181" s="40"/>
      <c r="I181" s="40"/>
      <c r="O181" s="40"/>
    </row>
    <row r="182" spans="2:15" x14ac:dyDescent="0.2">
      <c r="B182" s="40"/>
      <c r="C182" s="40"/>
      <c r="E182" s="40"/>
      <c r="F182" s="40"/>
      <c r="G182" s="40"/>
      <c r="I182" s="40"/>
      <c r="O182" s="40"/>
    </row>
    <row r="183" spans="2:15" x14ac:dyDescent="0.2">
      <c r="B183" s="40"/>
      <c r="C183" s="40"/>
      <c r="E183" s="40"/>
      <c r="F183" s="40"/>
      <c r="G183" s="40"/>
      <c r="I183" s="40"/>
      <c r="O183" s="40"/>
    </row>
    <row r="184" spans="2:15" x14ac:dyDescent="0.2">
      <c r="B184" s="40"/>
      <c r="C184" s="40"/>
      <c r="E184" s="40"/>
      <c r="F184" s="40"/>
      <c r="G184" s="40"/>
      <c r="I184" s="40"/>
      <c r="O184" s="40"/>
    </row>
    <row r="185" spans="2:15" x14ac:dyDescent="0.2">
      <c r="B185" s="40"/>
      <c r="C185" s="40"/>
      <c r="E185" s="40"/>
      <c r="F185" s="40"/>
      <c r="G185" s="40"/>
      <c r="I185" s="40"/>
      <c r="O185" s="40"/>
    </row>
    <row r="186" spans="2:15" x14ac:dyDescent="0.2">
      <c r="B186" s="40"/>
      <c r="C186" s="40"/>
      <c r="E186" s="40"/>
      <c r="F186" s="40"/>
      <c r="G186" s="40"/>
      <c r="I186" s="40"/>
      <c r="O186" s="40"/>
    </row>
    <row r="187" spans="2:15" x14ac:dyDescent="0.2">
      <c r="B187" s="40"/>
      <c r="C187" s="40"/>
      <c r="E187" s="40"/>
      <c r="F187" s="40"/>
      <c r="G187" s="40"/>
    </row>
    <row r="188" spans="2:15" x14ac:dyDescent="0.2">
      <c r="B188" s="40"/>
      <c r="C188" s="40"/>
      <c r="E188" s="40"/>
      <c r="F188" s="40"/>
      <c r="G188" s="40"/>
    </row>
    <row r="189" spans="2:15" x14ac:dyDescent="0.2">
      <c r="B189" s="40"/>
      <c r="C189" s="40"/>
      <c r="E189" s="40"/>
      <c r="F189" s="40"/>
      <c r="G189" s="40"/>
      <c r="I189" s="40"/>
      <c r="O189" s="40"/>
    </row>
    <row r="190" spans="2:15" x14ac:dyDescent="0.2">
      <c r="B190" s="40"/>
      <c r="C190" s="40"/>
      <c r="E190" s="40"/>
      <c r="F190" s="40"/>
      <c r="G190" s="40"/>
      <c r="I190" s="40"/>
      <c r="O190" s="40"/>
    </row>
    <row r="191" spans="2:15" x14ac:dyDescent="0.2">
      <c r="B191" s="40"/>
      <c r="C191" s="40"/>
      <c r="E191" s="40"/>
      <c r="F191" s="40"/>
      <c r="G191" s="40"/>
    </row>
    <row r="192" spans="2:15" x14ac:dyDescent="0.2">
      <c r="B192" s="40"/>
      <c r="C192" s="40"/>
      <c r="E192" s="40"/>
      <c r="F192" s="40"/>
      <c r="G192" s="40"/>
    </row>
    <row r="193" spans="2:27" x14ac:dyDescent="0.2">
      <c r="B193" s="40"/>
      <c r="C193" s="40"/>
      <c r="E193" s="40"/>
      <c r="F193" s="40"/>
      <c r="G193" s="40"/>
    </row>
    <row r="194" spans="2:27" ht="12" customHeight="1" x14ac:dyDescent="0.2">
      <c r="B194" s="40"/>
      <c r="C194" s="40"/>
      <c r="E194" s="40"/>
      <c r="F194" s="40"/>
      <c r="G194" s="40"/>
    </row>
    <row r="195" spans="2:27" x14ac:dyDescent="0.2">
      <c r="B195" s="40"/>
      <c r="C195" s="40"/>
      <c r="E195" s="40"/>
      <c r="F195" s="40"/>
      <c r="G195" s="40"/>
      <c r="I195" s="40"/>
      <c r="O195" s="40"/>
      <c r="AA195" s="98"/>
    </row>
    <row r="196" spans="2:27" x14ac:dyDescent="0.2">
      <c r="B196" s="40"/>
      <c r="C196" s="40"/>
      <c r="E196" s="40"/>
      <c r="F196" s="40"/>
      <c r="G196" s="40"/>
      <c r="I196" s="40"/>
      <c r="O196" s="40"/>
      <c r="AA196" s="98"/>
    </row>
    <row r="197" spans="2:27" x14ac:dyDescent="0.2">
      <c r="B197" s="40"/>
      <c r="C197" s="40"/>
      <c r="E197" s="40"/>
      <c r="F197" s="40"/>
      <c r="G197" s="40"/>
      <c r="I197" s="40"/>
      <c r="O197" s="40"/>
      <c r="AA197" s="98"/>
    </row>
    <row r="198" spans="2:27" ht="18" customHeight="1" x14ac:dyDescent="0.2">
      <c r="B198" s="40"/>
      <c r="C198" s="40"/>
      <c r="E198" s="40"/>
      <c r="F198" s="40"/>
      <c r="G198" s="40"/>
      <c r="AA198" s="98"/>
    </row>
    <row r="199" spans="2:27" x14ac:dyDescent="0.2">
      <c r="B199" s="40"/>
      <c r="C199" s="40"/>
      <c r="E199" s="40"/>
      <c r="F199" s="40"/>
      <c r="G199" s="40"/>
      <c r="AA199" s="98"/>
    </row>
    <row r="200" spans="2:27" x14ac:dyDescent="0.2">
      <c r="B200" s="40"/>
      <c r="C200" s="40"/>
      <c r="E200" s="40"/>
      <c r="F200" s="40"/>
      <c r="G200" s="40"/>
      <c r="AA200" s="98"/>
    </row>
    <row r="201" spans="2:27" x14ac:dyDescent="0.2">
      <c r="B201" s="40"/>
      <c r="C201" s="40"/>
      <c r="E201" s="40"/>
      <c r="F201" s="40"/>
      <c r="G201" s="40"/>
      <c r="I201" s="40"/>
      <c r="O201" s="40"/>
      <c r="AA201" s="98"/>
    </row>
    <row r="202" spans="2:27" x14ac:dyDescent="0.2">
      <c r="B202" s="40"/>
      <c r="C202" s="40"/>
      <c r="E202" s="40"/>
      <c r="F202" s="40"/>
      <c r="G202" s="40"/>
      <c r="I202" s="40"/>
      <c r="O202" s="40"/>
    </row>
    <row r="203" spans="2:27" x14ac:dyDescent="0.2">
      <c r="B203" s="40"/>
      <c r="C203" s="40"/>
      <c r="E203" s="40"/>
      <c r="F203" s="40"/>
      <c r="G203" s="40"/>
      <c r="I203" s="40"/>
      <c r="O203" s="40"/>
    </row>
    <row r="204" spans="2:27" x14ac:dyDescent="0.2">
      <c r="B204" s="40"/>
      <c r="C204" s="40"/>
      <c r="E204" s="40"/>
      <c r="F204" s="40"/>
      <c r="G204" s="40"/>
    </row>
    <row r="205" spans="2:27" x14ac:dyDescent="0.2">
      <c r="B205" s="40"/>
      <c r="C205" s="40"/>
      <c r="E205" s="40"/>
      <c r="F205" s="40"/>
      <c r="G205" s="40"/>
      <c r="I205" s="40"/>
      <c r="O205" s="40"/>
    </row>
    <row r="206" spans="2:27" x14ac:dyDescent="0.2">
      <c r="B206" s="40"/>
      <c r="C206" s="40"/>
      <c r="E206" s="40"/>
      <c r="F206" s="40"/>
      <c r="G206" s="40"/>
    </row>
    <row r="207" spans="2:27" x14ac:dyDescent="0.2">
      <c r="B207" s="40"/>
      <c r="C207" s="40"/>
      <c r="E207" s="40"/>
      <c r="F207" s="40"/>
      <c r="G207" s="40"/>
      <c r="I207" s="40"/>
      <c r="O207" s="40"/>
    </row>
    <row r="208" spans="2:27" x14ac:dyDescent="0.2">
      <c r="B208" s="40"/>
      <c r="C208" s="40"/>
      <c r="E208" s="40"/>
      <c r="F208" s="40"/>
      <c r="G208" s="40"/>
      <c r="I208" s="40"/>
      <c r="O208" s="40"/>
    </row>
    <row r="209" spans="2:27" x14ac:dyDescent="0.2">
      <c r="B209" s="40"/>
      <c r="C209" s="40"/>
      <c r="E209" s="40"/>
      <c r="F209" s="40"/>
      <c r="G209" s="40"/>
      <c r="I209" s="40"/>
      <c r="O209" s="40"/>
    </row>
    <row r="210" spans="2:27" x14ac:dyDescent="0.2">
      <c r="B210" s="40"/>
      <c r="C210" s="40"/>
      <c r="E210" s="40"/>
      <c r="F210" s="40"/>
      <c r="G210" s="40"/>
      <c r="I210" s="40"/>
      <c r="O210" s="40"/>
    </row>
    <row r="211" spans="2:27" x14ac:dyDescent="0.2">
      <c r="B211" s="40"/>
      <c r="C211" s="40"/>
      <c r="E211" s="40"/>
      <c r="F211" s="40"/>
      <c r="G211" s="40"/>
      <c r="I211" s="40"/>
      <c r="O211" s="40"/>
    </row>
    <row r="212" spans="2:27" x14ac:dyDescent="0.2">
      <c r="B212" s="40"/>
      <c r="C212" s="40"/>
      <c r="E212" s="40"/>
      <c r="F212" s="40"/>
      <c r="G212" s="40"/>
    </row>
    <row r="213" spans="2:27" x14ac:dyDescent="0.2">
      <c r="B213" s="40"/>
      <c r="C213" s="40"/>
      <c r="E213" s="40"/>
      <c r="F213" s="40"/>
      <c r="G213" s="40"/>
      <c r="I213" s="40"/>
      <c r="O213" s="40"/>
    </row>
    <row r="214" spans="2:27" x14ac:dyDescent="0.2">
      <c r="B214" s="40"/>
      <c r="C214" s="40"/>
      <c r="E214" s="40"/>
      <c r="F214" s="40"/>
      <c r="G214" s="40"/>
      <c r="I214" s="40"/>
      <c r="O214" s="40"/>
    </row>
    <row r="215" spans="2:27" x14ac:dyDescent="0.2">
      <c r="B215" s="40"/>
      <c r="C215" s="40"/>
      <c r="E215" s="40"/>
      <c r="F215" s="40"/>
      <c r="G215" s="40"/>
      <c r="I215" s="40"/>
      <c r="O215" s="40"/>
    </row>
    <row r="216" spans="2:27" x14ac:dyDescent="0.2">
      <c r="B216" s="40"/>
      <c r="C216" s="40"/>
      <c r="E216" s="40"/>
      <c r="F216" s="40"/>
      <c r="G216" s="40"/>
      <c r="AA216" s="98"/>
    </row>
    <row r="217" spans="2:27" x14ac:dyDescent="0.2">
      <c r="B217" s="40"/>
      <c r="C217" s="40"/>
      <c r="E217" s="40"/>
      <c r="F217" s="40"/>
      <c r="G217" s="40"/>
      <c r="I217" s="40"/>
      <c r="O217" s="40"/>
    </row>
    <row r="218" spans="2:27" x14ac:dyDescent="0.2">
      <c r="B218" s="40"/>
      <c r="C218" s="40"/>
      <c r="E218" s="40"/>
      <c r="F218" s="40"/>
      <c r="G218" s="40"/>
      <c r="I218" s="40"/>
      <c r="O218" s="40"/>
    </row>
    <row r="219" spans="2:27" x14ac:dyDescent="0.2">
      <c r="B219" s="40"/>
      <c r="C219" s="40"/>
      <c r="E219" s="40"/>
      <c r="F219" s="40"/>
      <c r="G219" s="40"/>
      <c r="I219" s="40"/>
      <c r="O219" s="40"/>
    </row>
    <row r="220" spans="2:27" x14ac:dyDescent="0.2">
      <c r="B220" s="40"/>
      <c r="C220" s="40"/>
      <c r="E220" s="40"/>
      <c r="F220" s="40"/>
      <c r="G220" s="40"/>
      <c r="I220" s="40"/>
      <c r="O220" s="40"/>
    </row>
    <row r="221" spans="2:27" x14ac:dyDescent="0.2">
      <c r="B221" s="40"/>
      <c r="C221" s="40"/>
      <c r="E221" s="40"/>
      <c r="F221" s="40"/>
      <c r="G221" s="40"/>
    </row>
    <row r="222" spans="2:27" x14ac:dyDescent="0.2">
      <c r="B222" s="40"/>
      <c r="C222" s="40"/>
      <c r="E222" s="40"/>
      <c r="F222" s="40"/>
      <c r="G222" s="40"/>
    </row>
    <row r="223" spans="2:27" x14ac:dyDescent="0.2">
      <c r="B223" s="40"/>
      <c r="C223" s="40"/>
      <c r="E223" s="40"/>
      <c r="F223" s="40"/>
      <c r="G223" s="40"/>
      <c r="I223" s="40"/>
      <c r="O223" s="40"/>
    </row>
    <row r="224" spans="2:27" x14ac:dyDescent="0.2">
      <c r="B224" s="40"/>
      <c r="C224" s="40"/>
      <c r="E224" s="40"/>
      <c r="F224" s="40"/>
      <c r="G224" s="40"/>
      <c r="I224" s="40"/>
      <c r="O224" s="40"/>
    </row>
    <row r="225" spans="2:27" x14ac:dyDescent="0.2">
      <c r="B225" s="40"/>
      <c r="C225" s="40"/>
      <c r="E225" s="40"/>
      <c r="F225" s="40"/>
      <c r="G225" s="40"/>
      <c r="I225" s="40"/>
      <c r="O225" s="40"/>
    </row>
    <row r="226" spans="2:27" x14ac:dyDescent="0.2">
      <c r="B226" s="40"/>
      <c r="C226" s="40"/>
      <c r="E226" s="40"/>
      <c r="F226" s="40"/>
      <c r="G226" s="40"/>
      <c r="I226" s="40"/>
      <c r="O226" s="40"/>
    </row>
    <row r="227" spans="2:27" x14ac:dyDescent="0.2">
      <c r="B227" s="40"/>
      <c r="C227" s="40"/>
      <c r="E227" s="40"/>
      <c r="F227" s="40"/>
      <c r="G227" s="40"/>
    </row>
    <row r="228" spans="2:27" x14ac:dyDescent="0.2">
      <c r="B228" s="40"/>
      <c r="C228" s="40"/>
      <c r="E228" s="40"/>
      <c r="F228" s="40"/>
      <c r="G228" s="40"/>
      <c r="I228" s="40"/>
      <c r="O228" s="40"/>
    </row>
    <row r="229" spans="2:27" x14ac:dyDescent="0.2">
      <c r="B229" s="40"/>
      <c r="C229" s="40"/>
      <c r="E229" s="40"/>
      <c r="F229" s="40"/>
      <c r="G229" s="40"/>
      <c r="I229" s="40"/>
      <c r="O229" s="40"/>
    </row>
    <row r="230" spans="2:27" x14ac:dyDescent="0.2">
      <c r="B230" s="40"/>
      <c r="C230" s="40"/>
      <c r="E230" s="40"/>
      <c r="F230" s="40"/>
      <c r="G230" s="40"/>
      <c r="I230" s="40"/>
      <c r="O230" s="40"/>
    </row>
    <row r="231" spans="2:27" x14ac:dyDescent="0.2">
      <c r="B231" s="40"/>
      <c r="C231" s="40"/>
      <c r="E231" s="40"/>
      <c r="F231" s="40"/>
      <c r="G231" s="40"/>
      <c r="W231" s="43"/>
    </row>
    <row r="232" spans="2:27" x14ac:dyDescent="0.2">
      <c r="B232" s="40"/>
      <c r="C232" s="40"/>
      <c r="E232" s="40"/>
      <c r="F232" s="40"/>
      <c r="G232" s="40"/>
      <c r="I232" s="40"/>
      <c r="O232" s="40"/>
      <c r="AA232" s="98"/>
    </row>
    <row r="233" spans="2:27" x14ac:dyDescent="0.2">
      <c r="B233" s="40"/>
      <c r="C233" s="40"/>
      <c r="E233" s="40"/>
      <c r="F233" s="40"/>
      <c r="G233" s="40"/>
      <c r="I233" s="40"/>
      <c r="O233" s="40"/>
      <c r="AA233" s="98"/>
    </row>
    <row r="234" spans="2:27" x14ac:dyDescent="0.2">
      <c r="B234" s="40"/>
      <c r="C234" s="40"/>
      <c r="E234" s="40"/>
      <c r="F234" s="40"/>
      <c r="G234" s="40"/>
      <c r="I234" s="40"/>
      <c r="O234" s="40"/>
      <c r="AA234" s="98"/>
    </row>
    <row r="235" spans="2:27" x14ac:dyDescent="0.2">
      <c r="B235" s="40"/>
      <c r="C235" s="40"/>
      <c r="E235" s="40"/>
      <c r="F235" s="40"/>
      <c r="G235" s="40"/>
      <c r="I235" s="40"/>
      <c r="O235" s="40"/>
      <c r="AA235" s="98"/>
    </row>
    <row r="236" spans="2:27" x14ac:dyDescent="0.2">
      <c r="B236" s="40"/>
      <c r="C236" s="40"/>
      <c r="E236" s="40"/>
      <c r="F236" s="40"/>
      <c r="G236" s="40"/>
      <c r="I236" s="40"/>
      <c r="O236" s="40"/>
    </row>
    <row r="237" spans="2:27" x14ac:dyDescent="0.2">
      <c r="B237" s="40"/>
      <c r="C237" s="40"/>
      <c r="E237" s="40"/>
      <c r="F237" s="40"/>
      <c r="G237" s="40"/>
    </row>
    <row r="238" spans="2:27" x14ac:dyDescent="0.2">
      <c r="B238" s="40"/>
      <c r="C238" s="40"/>
      <c r="E238" s="40"/>
      <c r="F238" s="40"/>
      <c r="G238" s="40"/>
      <c r="AA238" s="98"/>
    </row>
    <row r="239" spans="2:27" x14ac:dyDescent="0.2">
      <c r="B239" s="40"/>
      <c r="C239" s="40"/>
      <c r="E239" s="40"/>
      <c r="F239" s="40"/>
      <c r="G239" s="40"/>
      <c r="I239" s="40"/>
      <c r="O239" s="40"/>
      <c r="AA239" s="98"/>
    </row>
    <row r="240" spans="2:27" x14ac:dyDescent="0.2">
      <c r="B240" s="40"/>
      <c r="C240" s="40"/>
      <c r="E240" s="40"/>
      <c r="F240" s="40"/>
      <c r="G240" s="40"/>
      <c r="AA240" s="98"/>
    </row>
    <row r="241" spans="2:27" x14ac:dyDescent="0.2">
      <c r="B241" s="40"/>
      <c r="C241" s="40"/>
      <c r="E241" s="40"/>
      <c r="F241" s="40"/>
      <c r="G241" s="40"/>
      <c r="AA241" s="98"/>
    </row>
    <row r="242" spans="2:27" x14ac:dyDescent="0.2">
      <c r="B242" s="40"/>
      <c r="C242" s="40"/>
      <c r="E242" s="40"/>
      <c r="F242" s="40"/>
      <c r="G242" s="40"/>
      <c r="I242" s="40"/>
      <c r="O242" s="40"/>
      <c r="AA242" s="98"/>
    </row>
    <row r="243" spans="2:27" x14ac:dyDescent="0.2">
      <c r="B243" s="40"/>
      <c r="C243" s="40"/>
      <c r="E243" s="40"/>
      <c r="F243" s="40"/>
      <c r="G243" s="40"/>
      <c r="I243" s="40"/>
      <c r="O243" s="40"/>
      <c r="AA243" s="98"/>
    </row>
    <row r="244" spans="2:27" x14ac:dyDescent="0.2">
      <c r="B244" s="40"/>
      <c r="C244" s="40"/>
      <c r="E244" s="40"/>
      <c r="F244" s="40"/>
      <c r="G244" s="40"/>
      <c r="I244" s="40"/>
      <c r="O244" s="40"/>
      <c r="AA244" s="98"/>
    </row>
    <row r="245" spans="2:27" x14ac:dyDescent="0.2">
      <c r="B245" s="40"/>
      <c r="C245" s="40"/>
      <c r="E245" s="40"/>
      <c r="F245" s="40"/>
      <c r="G245" s="40"/>
      <c r="AA245" s="98"/>
    </row>
    <row r="246" spans="2:27" x14ac:dyDescent="0.2">
      <c r="B246" s="40"/>
      <c r="C246" s="40"/>
      <c r="E246" s="40"/>
      <c r="F246" s="40"/>
      <c r="G246" s="40"/>
      <c r="I246" s="40"/>
      <c r="O246" s="40"/>
    </row>
    <row r="247" spans="2:27" x14ac:dyDescent="0.2">
      <c r="B247" s="40"/>
      <c r="C247" s="40"/>
      <c r="E247" s="40"/>
      <c r="F247" s="40"/>
      <c r="G247" s="40"/>
    </row>
    <row r="248" spans="2:27" x14ac:dyDescent="0.2">
      <c r="B248" s="40"/>
      <c r="C248" s="40"/>
      <c r="E248" s="40"/>
      <c r="F248" s="40"/>
      <c r="G248" s="40"/>
    </row>
    <row r="249" spans="2:27" x14ac:dyDescent="0.2">
      <c r="B249" s="40"/>
      <c r="C249" s="40"/>
      <c r="E249" s="40"/>
      <c r="F249" s="40"/>
      <c r="G249" s="40"/>
    </row>
    <row r="250" spans="2:27" x14ac:dyDescent="0.2">
      <c r="B250" s="40"/>
      <c r="C250" s="40"/>
      <c r="E250" s="40"/>
      <c r="F250" s="40"/>
      <c r="G250" s="40"/>
    </row>
    <row r="251" spans="2:27" x14ac:dyDescent="0.2">
      <c r="B251" s="40"/>
      <c r="C251" s="40"/>
      <c r="E251" s="40"/>
      <c r="F251" s="40"/>
      <c r="G251" s="40"/>
    </row>
    <row r="252" spans="2:27" x14ac:dyDescent="0.2">
      <c r="B252" s="40"/>
      <c r="C252" s="40"/>
      <c r="E252" s="40"/>
      <c r="F252" s="40"/>
      <c r="G252" s="40"/>
    </row>
    <row r="253" spans="2:27" x14ac:dyDescent="0.2">
      <c r="B253" s="40"/>
      <c r="C253" s="40"/>
      <c r="E253" s="40"/>
      <c r="F253" s="40"/>
      <c r="G253" s="40"/>
    </row>
    <row r="254" spans="2:27" x14ac:dyDescent="0.2">
      <c r="B254" s="40"/>
      <c r="C254" s="40"/>
      <c r="E254" s="40"/>
      <c r="F254" s="40"/>
      <c r="G254" s="40"/>
    </row>
    <row r="255" spans="2:27" x14ac:dyDescent="0.2">
      <c r="B255" s="40"/>
      <c r="C255" s="40"/>
      <c r="E255" s="40"/>
      <c r="F255" s="40"/>
      <c r="G255" s="40"/>
      <c r="I255" s="40"/>
      <c r="O255" s="40"/>
    </row>
    <row r="256" spans="2:27" x14ac:dyDescent="0.2">
      <c r="B256" s="40"/>
      <c r="C256" s="40"/>
      <c r="E256" s="40"/>
      <c r="F256" s="40"/>
      <c r="G256" s="40"/>
      <c r="I256" s="40"/>
      <c r="O256" s="40"/>
    </row>
    <row r="257" spans="2:15" x14ac:dyDescent="0.2">
      <c r="B257" s="40"/>
      <c r="C257" s="40"/>
      <c r="E257" s="40"/>
      <c r="F257" s="40"/>
      <c r="G257" s="40"/>
      <c r="I257" s="40"/>
      <c r="O257" s="40"/>
    </row>
    <row r="258" spans="2:15" x14ac:dyDescent="0.2">
      <c r="B258" s="40"/>
      <c r="C258" s="40"/>
      <c r="E258" s="40"/>
      <c r="F258" s="40"/>
      <c r="G258" s="40"/>
      <c r="I258" s="40"/>
      <c r="O258" s="40"/>
    </row>
    <row r="259" spans="2:15" x14ac:dyDescent="0.2">
      <c r="B259" s="40"/>
      <c r="C259" s="40"/>
      <c r="E259" s="40"/>
      <c r="F259" s="40"/>
      <c r="G259" s="40"/>
      <c r="I259" s="40"/>
      <c r="O259" s="40"/>
    </row>
    <row r="260" spans="2:15" x14ac:dyDescent="0.2">
      <c r="B260" s="40"/>
      <c r="C260" s="40"/>
      <c r="E260" s="40"/>
      <c r="F260" s="40"/>
      <c r="G260" s="40"/>
      <c r="I260" s="40"/>
      <c r="O260" s="40"/>
    </row>
    <row r="261" spans="2:15" x14ac:dyDescent="0.2">
      <c r="B261" s="40"/>
      <c r="C261" s="40"/>
      <c r="E261" s="40"/>
      <c r="F261" s="40"/>
      <c r="G261" s="40"/>
      <c r="I261" s="40"/>
      <c r="O261" s="40"/>
    </row>
    <row r="262" spans="2:15" x14ac:dyDescent="0.2">
      <c r="B262" s="40"/>
      <c r="C262" s="40"/>
      <c r="E262" s="40"/>
      <c r="F262" s="40"/>
      <c r="G262" s="40"/>
      <c r="I262" s="40"/>
      <c r="O262" s="40"/>
    </row>
    <row r="263" spans="2:15" x14ac:dyDescent="0.2">
      <c r="B263" s="40"/>
      <c r="C263" s="40"/>
      <c r="E263" s="40"/>
      <c r="F263" s="40"/>
      <c r="G263" s="40"/>
      <c r="I263" s="40"/>
      <c r="O263" s="40"/>
    </row>
    <row r="264" spans="2:15" x14ac:dyDescent="0.2">
      <c r="B264" s="40"/>
      <c r="C264" s="40"/>
      <c r="E264" s="40"/>
      <c r="F264" s="40"/>
      <c r="G264" s="40"/>
    </row>
    <row r="265" spans="2:15" x14ac:dyDescent="0.2">
      <c r="B265" s="40"/>
      <c r="C265" s="40"/>
      <c r="E265" s="40"/>
      <c r="F265" s="40"/>
      <c r="G265" s="40"/>
    </row>
    <row r="266" spans="2:15" x14ac:dyDescent="0.2">
      <c r="B266" s="40"/>
      <c r="C266" s="40"/>
      <c r="E266" s="40"/>
      <c r="F266" s="40"/>
      <c r="G266" s="40"/>
    </row>
    <row r="267" spans="2:15" x14ac:dyDescent="0.2">
      <c r="B267" s="40"/>
      <c r="C267" s="40"/>
      <c r="E267" s="40"/>
      <c r="F267" s="40"/>
      <c r="G267" s="40"/>
    </row>
    <row r="268" spans="2:15" x14ac:dyDescent="0.2">
      <c r="B268" s="40"/>
      <c r="C268" s="40"/>
      <c r="E268" s="40"/>
      <c r="F268" s="40"/>
      <c r="G268" s="40"/>
    </row>
    <row r="269" spans="2:15" x14ac:dyDescent="0.2">
      <c r="B269" s="40"/>
      <c r="C269" s="40"/>
      <c r="E269" s="40"/>
      <c r="F269" s="40"/>
      <c r="G269" s="40"/>
      <c r="I269" s="40"/>
      <c r="O269" s="40"/>
    </row>
    <row r="270" spans="2:15" x14ac:dyDescent="0.2">
      <c r="B270" s="40"/>
      <c r="C270" s="40"/>
      <c r="E270" s="40"/>
      <c r="F270" s="40"/>
      <c r="G270" s="40"/>
    </row>
    <row r="271" spans="2:15" x14ac:dyDescent="0.2">
      <c r="B271" s="40"/>
      <c r="C271" s="40"/>
      <c r="E271" s="40"/>
      <c r="F271" s="40"/>
      <c r="G271" s="40"/>
    </row>
    <row r="272" spans="2:15" x14ac:dyDescent="0.2">
      <c r="B272" s="40"/>
      <c r="C272" s="40"/>
      <c r="E272" s="40"/>
      <c r="F272" s="40"/>
      <c r="G272" s="40"/>
    </row>
    <row r="273" spans="2:27" x14ac:dyDescent="0.2">
      <c r="B273" s="40"/>
      <c r="C273" s="40"/>
      <c r="E273" s="40"/>
      <c r="F273" s="40"/>
      <c r="G273" s="40"/>
    </row>
    <row r="274" spans="2:27" x14ac:dyDescent="0.2">
      <c r="B274" s="40"/>
      <c r="C274" s="40"/>
      <c r="E274" s="40"/>
      <c r="F274" s="40"/>
      <c r="G274" s="40"/>
    </row>
    <row r="275" spans="2:27" x14ac:dyDescent="0.2">
      <c r="B275" s="40"/>
      <c r="C275" s="40"/>
      <c r="E275" s="40"/>
      <c r="F275" s="40"/>
      <c r="G275" s="40"/>
      <c r="I275" s="40"/>
      <c r="O275" s="40"/>
    </row>
    <row r="276" spans="2:27" x14ac:dyDescent="0.2">
      <c r="B276" s="40"/>
      <c r="C276" s="40"/>
      <c r="E276" s="40"/>
      <c r="F276" s="40"/>
      <c r="G276" s="40"/>
      <c r="I276" s="40"/>
      <c r="O276" s="40"/>
    </row>
    <row r="277" spans="2:27" x14ac:dyDescent="0.2">
      <c r="B277" s="40"/>
      <c r="C277" s="40"/>
      <c r="E277" s="40"/>
      <c r="F277" s="40"/>
      <c r="G277" s="40"/>
      <c r="I277" s="40"/>
      <c r="O277" s="40"/>
      <c r="AA277" s="98"/>
    </row>
    <row r="278" spans="2:27" x14ac:dyDescent="0.2">
      <c r="B278" s="40"/>
      <c r="C278" s="40"/>
      <c r="E278" s="40"/>
      <c r="F278" s="40"/>
      <c r="G278" s="40"/>
      <c r="I278" s="40"/>
      <c r="O278" s="40"/>
      <c r="AA278" s="98"/>
    </row>
    <row r="279" spans="2:27" x14ac:dyDescent="0.2">
      <c r="B279" s="40"/>
      <c r="C279" s="40"/>
      <c r="E279" s="40"/>
      <c r="F279" s="40"/>
      <c r="G279" s="40"/>
      <c r="I279" s="40"/>
      <c r="O279" s="40"/>
      <c r="AA279" s="98"/>
    </row>
    <row r="280" spans="2:27" x14ac:dyDescent="0.2">
      <c r="B280" s="40"/>
      <c r="C280" s="40"/>
      <c r="E280" s="40"/>
      <c r="F280" s="40"/>
      <c r="G280" s="40"/>
      <c r="AA280" s="98"/>
    </row>
    <row r="281" spans="2:27" x14ac:dyDescent="0.2">
      <c r="B281" s="40"/>
      <c r="C281" s="40"/>
      <c r="E281" s="40"/>
      <c r="F281" s="40"/>
      <c r="G281" s="40"/>
      <c r="AA281" s="98"/>
    </row>
    <row r="282" spans="2:27" x14ac:dyDescent="0.2">
      <c r="B282" s="40"/>
      <c r="C282" s="40"/>
      <c r="E282" s="40"/>
      <c r="F282" s="40"/>
      <c r="G282" s="40"/>
      <c r="I282" s="40"/>
      <c r="O282" s="40"/>
    </row>
    <row r="283" spans="2:27" x14ac:dyDescent="0.2">
      <c r="B283" s="40"/>
      <c r="C283" s="40"/>
      <c r="E283" s="40"/>
      <c r="F283" s="40"/>
      <c r="G283" s="40"/>
      <c r="I283" s="40"/>
      <c r="O283" s="40"/>
    </row>
    <row r="284" spans="2:27" x14ac:dyDescent="0.2">
      <c r="B284" s="40"/>
      <c r="C284" s="40"/>
      <c r="E284" s="40"/>
      <c r="F284" s="40"/>
      <c r="G284" s="40"/>
      <c r="I284" s="40"/>
      <c r="O284" s="40"/>
    </row>
    <row r="285" spans="2:27" x14ac:dyDescent="0.2">
      <c r="B285" s="40"/>
      <c r="C285" s="40"/>
      <c r="E285" s="40"/>
      <c r="F285" s="40"/>
      <c r="G285" s="40"/>
      <c r="AA285" s="98"/>
    </row>
    <row r="286" spans="2:27" x14ac:dyDescent="0.2">
      <c r="B286" s="40"/>
      <c r="C286" s="40"/>
      <c r="E286" s="40"/>
      <c r="F286" s="40"/>
      <c r="G286" s="40"/>
      <c r="AA286" s="98"/>
    </row>
    <row r="287" spans="2:27" x14ac:dyDescent="0.2">
      <c r="B287" s="40"/>
      <c r="C287" s="40"/>
      <c r="E287" s="40"/>
      <c r="F287" s="40"/>
      <c r="G287" s="40"/>
      <c r="AA287" s="98"/>
    </row>
    <row r="288" spans="2:27" x14ac:dyDescent="0.2">
      <c r="B288" s="40"/>
      <c r="C288" s="40"/>
      <c r="E288" s="40"/>
      <c r="F288" s="40"/>
      <c r="G288" s="40"/>
      <c r="I288" s="40"/>
      <c r="O288" s="40"/>
    </row>
    <row r="289" spans="2:39" x14ac:dyDescent="0.2">
      <c r="B289" s="40"/>
      <c r="C289" s="40"/>
      <c r="E289" s="40"/>
      <c r="F289" s="40"/>
      <c r="G289" s="40"/>
      <c r="I289" s="40"/>
      <c r="O289" s="40"/>
    </row>
    <row r="290" spans="2:39" x14ac:dyDescent="0.2">
      <c r="B290" s="40"/>
      <c r="C290" s="40"/>
      <c r="E290" s="40"/>
      <c r="F290" s="40"/>
      <c r="G290" s="40"/>
      <c r="I290" s="40"/>
      <c r="O290" s="40"/>
    </row>
    <row r="291" spans="2:39" x14ac:dyDescent="0.2">
      <c r="B291" s="40"/>
      <c r="C291" s="40"/>
      <c r="E291" s="40"/>
      <c r="F291" s="40"/>
      <c r="G291" s="40"/>
      <c r="I291" s="40"/>
      <c r="O291" s="40"/>
    </row>
    <row r="292" spans="2:39" x14ac:dyDescent="0.2">
      <c r="B292" s="40"/>
      <c r="C292" s="40"/>
      <c r="E292" s="40"/>
      <c r="F292" s="40"/>
      <c r="G292" s="40"/>
    </row>
    <row r="293" spans="2:39" x14ac:dyDescent="0.2">
      <c r="B293" s="40"/>
      <c r="C293" s="40"/>
      <c r="E293" s="40"/>
      <c r="F293" s="40"/>
      <c r="G293" s="40"/>
    </row>
    <row r="294" spans="2:39" x14ac:dyDescent="0.2">
      <c r="B294" s="40"/>
      <c r="C294" s="40"/>
      <c r="E294" s="40"/>
      <c r="F294" s="40"/>
      <c r="G294" s="40"/>
    </row>
    <row r="295" spans="2:39" x14ac:dyDescent="0.2">
      <c r="B295" s="40"/>
      <c r="C295" s="40"/>
      <c r="E295" s="40"/>
      <c r="F295" s="40"/>
      <c r="G295" s="40"/>
      <c r="I295" s="40"/>
      <c r="O295" s="40"/>
    </row>
    <row r="296" spans="2:39" x14ac:dyDescent="0.2">
      <c r="B296" s="40"/>
      <c r="C296" s="40"/>
      <c r="E296" s="40"/>
      <c r="F296" s="40"/>
      <c r="G296" s="40"/>
      <c r="I296" s="40"/>
      <c r="O296" s="40"/>
    </row>
    <row r="297" spans="2:39" x14ac:dyDescent="0.2">
      <c r="B297" s="40"/>
      <c r="C297" s="40"/>
      <c r="E297" s="40"/>
      <c r="F297" s="40"/>
      <c r="G297" s="40"/>
      <c r="I297" s="40"/>
      <c r="O297" s="40"/>
    </row>
    <row r="298" spans="2:39" x14ac:dyDescent="0.2">
      <c r="B298" s="40"/>
      <c r="C298" s="40"/>
      <c r="E298" s="40"/>
      <c r="F298" s="40"/>
      <c r="G298" s="40"/>
      <c r="I298" s="40"/>
      <c r="O298" s="40"/>
    </row>
    <row r="299" spans="2:39" x14ac:dyDescent="0.2">
      <c r="B299" s="40"/>
      <c r="C299" s="40"/>
      <c r="E299" s="40"/>
      <c r="F299" s="40"/>
      <c r="G299" s="40"/>
      <c r="I299" s="40"/>
      <c r="O299" s="40"/>
      <c r="AM299" s="95"/>
    </row>
    <row r="300" spans="2:39" x14ac:dyDescent="0.2">
      <c r="B300" s="40"/>
      <c r="C300" s="40"/>
      <c r="E300" s="40"/>
      <c r="F300" s="40"/>
      <c r="G300" s="40"/>
      <c r="I300" s="40"/>
      <c r="O300" s="40"/>
    </row>
    <row r="301" spans="2:39" x14ac:dyDescent="0.2">
      <c r="B301" s="40"/>
      <c r="C301" s="40"/>
      <c r="E301" s="40"/>
      <c r="F301" s="40"/>
      <c r="G301" s="40"/>
      <c r="I301" s="40"/>
      <c r="O301" s="40"/>
    </row>
    <row r="302" spans="2:39" x14ac:dyDescent="0.2">
      <c r="B302" s="40"/>
      <c r="C302" s="40"/>
      <c r="E302" s="40"/>
      <c r="F302" s="40"/>
      <c r="G302" s="40"/>
      <c r="I302" s="40"/>
      <c r="O302" s="40"/>
    </row>
    <row r="303" spans="2:39" x14ac:dyDescent="0.2">
      <c r="B303" s="40"/>
      <c r="C303" s="40"/>
      <c r="E303" s="40"/>
      <c r="F303" s="40"/>
      <c r="G303" s="40"/>
      <c r="I303" s="40"/>
      <c r="O303" s="40"/>
    </row>
    <row r="304" spans="2:39" x14ac:dyDescent="0.2">
      <c r="B304" s="40"/>
      <c r="C304" s="40"/>
      <c r="E304" s="40"/>
      <c r="F304" s="40"/>
      <c r="G304" s="40"/>
    </row>
    <row r="305" spans="2:15" x14ac:dyDescent="0.2">
      <c r="B305" s="40"/>
      <c r="C305" s="40"/>
      <c r="E305" s="40"/>
      <c r="F305" s="40"/>
      <c r="G305" s="40"/>
      <c r="I305" s="40"/>
      <c r="O305" s="40"/>
    </row>
    <row r="306" spans="2:15" x14ac:dyDescent="0.2">
      <c r="B306" s="40"/>
      <c r="C306" s="40"/>
      <c r="E306" s="40"/>
      <c r="F306" s="40"/>
      <c r="G306" s="40"/>
      <c r="I306" s="40"/>
      <c r="O306" s="40"/>
    </row>
    <row r="307" spans="2:15" x14ac:dyDescent="0.2">
      <c r="B307" s="40"/>
      <c r="C307" s="40"/>
      <c r="E307" s="40"/>
      <c r="F307" s="40"/>
      <c r="G307" s="40"/>
    </row>
    <row r="308" spans="2:15" x14ac:dyDescent="0.2">
      <c r="B308" s="40"/>
      <c r="C308" s="40"/>
      <c r="E308" s="40"/>
      <c r="F308" s="40"/>
      <c r="G308" s="40"/>
    </row>
    <row r="309" spans="2:15" x14ac:dyDescent="0.2">
      <c r="B309" s="40"/>
      <c r="C309" s="40"/>
      <c r="E309" s="40"/>
      <c r="F309" s="40"/>
      <c r="G309" s="40"/>
    </row>
    <row r="310" spans="2:15" x14ac:dyDescent="0.2">
      <c r="B310" s="40"/>
      <c r="C310" s="40"/>
      <c r="E310" s="40"/>
      <c r="F310" s="40"/>
      <c r="G310" s="40"/>
    </row>
    <row r="311" spans="2:15" x14ac:dyDescent="0.2">
      <c r="B311" s="40"/>
      <c r="C311" s="40"/>
      <c r="E311" s="40"/>
      <c r="F311" s="40"/>
      <c r="G311" s="40"/>
    </row>
    <row r="312" spans="2:15" x14ac:dyDescent="0.2">
      <c r="B312" s="40"/>
      <c r="C312" s="40"/>
      <c r="E312" s="40"/>
      <c r="F312" s="40"/>
      <c r="G312" s="40"/>
    </row>
    <row r="313" spans="2:15" x14ac:dyDescent="0.2">
      <c r="B313" s="40"/>
      <c r="C313" s="40"/>
      <c r="E313" s="40"/>
      <c r="F313" s="40"/>
      <c r="G313" s="40"/>
      <c r="I313" s="40"/>
      <c r="O313" s="40"/>
    </row>
    <row r="314" spans="2:15" x14ac:dyDescent="0.2">
      <c r="B314" s="40"/>
      <c r="C314" s="40"/>
      <c r="E314" s="40"/>
      <c r="F314" s="40"/>
      <c r="G314" s="40"/>
      <c r="I314" s="40"/>
      <c r="O314" s="40"/>
    </row>
    <row r="315" spans="2:15" x14ac:dyDescent="0.2">
      <c r="B315" s="40"/>
      <c r="C315" s="40"/>
      <c r="E315" s="40"/>
      <c r="F315" s="40"/>
      <c r="G315" s="40"/>
    </row>
    <row r="316" spans="2:15" x14ac:dyDescent="0.2">
      <c r="B316" s="40"/>
      <c r="C316" s="40"/>
      <c r="E316" s="40"/>
      <c r="F316" s="40"/>
      <c r="G316" s="40"/>
      <c r="I316" s="40"/>
      <c r="O316" s="40"/>
    </row>
    <row r="317" spans="2:15" x14ac:dyDescent="0.2">
      <c r="B317" s="40"/>
      <c r="C317" s="40"/>
      <c r="E317" s="40"/>
      <c r="F317" s="40"/>
      <c r="G317" s="40"/>
      <c r="I317" s="40"/>
      <c r="O317" s="40"/>
    </row>
    <row r="318" spans="2:15" x14ac:dyDescent="0.2">
      <c r="B318" s="40"/>
      <c r="C318" s="40"/>
      <c r="E318" s="40"/>
      <c r="F318" s="40"/>
      <c r="G318" s="40"/>
      <c r="I318" s="40"/>
      <c r="O318" s="40"/>
    </row>
    <row r="319" spans="2:15" x14ac:dyDescent="0.2">
      <c r="B319" s="40"/>
      <c r="C319" s="40"/>
      <c r="E319" s="40"/>
      <c r="F319" s="40"/>
      <c r="G319" s="40"/>
      <c r="I319" s="40"/>
      <c r="O319" s="40"/>
    </row>
    <row r="320" spans="2:15" x14ac:dyDescent="0.2">
      <c r="B320" s="40"/>
      <c r="C320" s="40"/>
      <c r="E320" s="40"/>
      <c r="F320" s="40"/>
      <c r="G320" s="40"/>
      <c r="I320" s="40"/>
      <c r="O320" s="40"/>
    </row>
    <row r="321" spans="2:39" x14ac:dyDescent="0.2">
      <c r="B321" s="40"/>
      <c r="C321" s="40"/>
      <c r="E321" s="40"/>
      <c r="F321" s="40"/>
      <c r="G321" s="40"/>
      <c r="I321" s="40"/>
      <c r="O321" s="40"/>
    </row>
    <row r="322" spans="2:39" x14ac:dyDescent="0.2">
      <c r="B322" s="40"/>
      <c r="C322" s="40"/>
      <c r="E322" s="40"/>
      <c r="F322" s="40"/>
      <c r="G322" s="40"/>
      <c r="I322" s="40"/>
      <c r="O322" s="40"/>
    </row>
    <row r="323" spans="2:39" x14ac:dyDescent="0.2">
      <c r="B323" s="40"/>
      <c r="C323" s="40"/>
      <c r="E323" s="40"/>
      <c r="F323" s="40"/>
      <c r="G323" s="40"/>
      <c r="AM323" s="105"/>
    </row>
    <row r="324" spans="2:39" x14ac:dyDescent="0.2">
      <c r="B324" s="40"/>
      <c r="C324" s="40"/>
      <c r="E324" s="40"/>
      <c r="F324" s="40"/>
      <c r="G324" s="40"/>
    </row>
    <row r="325" spans="2:39" x14ac:dyDescent="0.2">
      <c r="B325" s="40"/>
      <c r="C325" s="40"/>
      <c r="E325" s="40"/>
      <c r="F325" s="40"/>
      <c r="G325" s="40"/>
    </row>
    <row r="326" spans="2:39" x14ac:dyDescent="0.2">
      <c r="B326" s="40"/>
      <c r="C326" s="40"/>
      <c r="E326" s="40"/>
      <c r="F326" s="40"/>
      <c r="G326" s="40"/>
    </row>
    <row r="327" spans="2:39" x14ac:dyDescent="0.2">
      <c r="B327" s="40"/>
      <c r="C327" s="40"/>
      <c r="E327" s="40"/>
      <c r="F327" s="40"/>
      <c r="G327" s="40"/>
      <c r="I327" s="40"/>
      <c r="O327" s="40"/>
      <c r="AA327" s="98"/>
    </row>
    <row r="328" spans="2:39" x14ac:dyDescent="0.2">
      <c r="B328" s="40"/>
      <c r="C328" s="40"/>
      <c r="E328" s="40"/>
      <c r="F328" s="40"/>
      <c r="G328" s="40"/>
      <c r="I328" s="40"/>
      <c r="O328" s="40"/>
      <c r="AA328" s="98"/>
    </row>
    <row r="329" spans="2:39" x14ac:dyDescent="0.2">
      <c r="B329" s="40"/>
      <c r="C329" s="40"/>
      <c r="E329" s="40"/>
      <c r="F329" s="40"/>
      <c r="G329" s="40"/>
      <c r="I329" s="40"/>
      <c r="O329" s="40"/>
      <c r="AA329" s="98"/>
    </row>
    <row r="330" spans="2:39" x14ac:dyDescent="0.2">
      <c r="B330" s="40"/>
      <c r="C330" s="40"/>
      <c r="E330" s="40"/>
      <c r="F330" s="40"/>
      <c r="G330" s="40"/>
      <c r="I330" s="40"/>
      <c r="O330" s="40"/>
      <c r="AA330" s="98"/>
    </row>
    <row r="331" spans="2:39" x14ac:dyDescent="0.2">
      <c r="B331" s="40"/>
      <c r="C331" s="40"/>
      <c r="E331" s="40"/>
      <c r="F331" s="40"/>
      <c r="G331" s="40"/>
      <c r="I331" s="40"/>
      <c r="O331" s="40"/>
    </row>
    <row r="332" spans="2:39" x14ac:dyDescent="0.2">
      <c r="B332" s="40"/>
      <c r="C332" s="40"/>
      <c r="E332" s="40"/>
      <c r="F332" s="40"/>
      <c r="G332" s="40"/>
    </row>
    <row r="333" spans="2:39" x14ac:dyDescent="0.2">
      <c r="B333" s="40"/>
      <c r="C333" s="40"/>
      <c r="E333" s="40"/>
      <c r="F333" s="40"/>
      <c r="G333" s="40"/>
      <c r="I333" s="40"/>
      <c r="O333" s="40"/>
      <c r="AA333" s="98"/>
    </row>
    <row r="334" spans="2:39" x14ac:dyDescent="0.2">
      <c r="B334" s="40"/>
      <c r="C334" s="40"/>
      <c r="E334" s="40"/>
      <c r="F334" s="40"/>
      <c r="G334" s="40"/>
      <c r="I334" s="40"/>
      <c r="O334" s="40"/>
      <c r="AA334" s="98"/>
      <c r="AC334" s="41"/>
    </row>
    <row r="335" spans="2:39" x14ac:dyDescent="0.2">
      <c r="B335" s="40"/>
      <c r="C335" s="40"/>
      <c r="E335" s="40"/>
      <c r="F335" s="40"/>
      <c r="G335" s="40"/>
      <c r="I335" s="40"/>
      <c r="O335" s="40"/>
      <c r="AA335" s="98"/>
      <c r="AC335" s="41"/>
    </row>
    <row r="336" spans="2:39" x14ac:dyDescent="0.2">
      <c r="B336" s="40"/>
      <c r="C336" s="40"/>
      <c r="E336" s="40"/>
      <c r="F336" s="40"/>
      <c r="G336" s="40"/>
      <c r="I336" s="40"/>
      <c r="O336" s="40"/>
      <c r="AA336" s="98"/>
    </row>
    <row r="337" spans="2:29" x14ac:dyDescent="0.2">
      <c r="B337" s="40"/>
      <c r="C337" s="40"/>
      <c r="E337" s="40"/>
      <c r="F337" s="40"/>
      <c r="G337" s="40"/>
      <c r="I337" s="40"/>
      <c r="O337" s="40"/>
      <c r="AA337" s="98"/>
      <c r="AC337" s="41"/>
    </row>
    <row r="338" spans="2:29" x14ac:dyDescent="0.2">
      <c r="B338" s="40"/>
      <c r="C338" s="40"/>
      <c r="E338" s="40"/>
      <c r="F338" s="40"/>
      <c r="G338" s="40"/>
      <c r="I338" s="40"/>
      <c r="O338" s="40"/>
      <c r="AA338" s="98"/>
    </row>
    <row r="339" spans="2:29" x14ac:dyDescent="0.2">
      <c r="B339" s="40"/>
      <c r="C339" s="40"/>
      <c r="E339" s="40"/>
      <c r="F339" s="40"/>
      <c r="G339" s="40"/>
      <c r="I339" s="40"/>
      <c r="O339" s="40"/>
      <c r="AA339" s="98"/>
    </row>
    <row r="340" spans="2:29" x14ac:dyDescent="0.2">
      <c r="B340" s="40"/>
      <c r="C340" s="40"/>
      <c r="E340" s="40"/>
      <c r="F340" s="40"/>
      <c r="G340" s="40"/>
      <c r="I340" s="40"/>
      <c r="O340" s="40"/>
      <c r="AA340" s="98"/>
    </row>
    <row r="341" spans="2:29" x14ac:dyDescent="0.2">
      <c r="B341" s="40"/>
      <c r="C341" s="40"/>
      <c r="E341" s="40"/>
      <c r="F341" s="40"/>
      <c r="G341" s="40"/>
    </row>
    <row r="342" spans="2:29" x14ac:dyDescent="0.2">
      <c r="B342" s="40"/>
      <c r="C342" s="40"/>
      <c r="E342" s="40"/>
      <c r="F342" s="40"/>
      <c r="G342" s="40"/>
      <c r="I342" s="40"/>
      <c r="O342" s="40"/>
    </row>
    <row r="343" spans="2:29" x14ac:dyDescent="0.2">
      <c r="B343" s="40"/>
      <c r="C343" s="40"/>
      <c r="E343" s="40"/>
      <c r="F343" s="40"/>
      <c r="G343" s="40"/>
    </row>
    <row r="344" spans="2:29" x14ac:dyDescent="0.2">
      <c r="B344" s="40"/>
      <c r="C344" s="40"/>
      <c r="E344" s="40"/>
      <c r="F344" s="40"/>
      <c r="G344" s="40"/>
      <c r="I344" s="40"/>
      <c r="O344" s="40"/>
    </row>
    <row r="345" spans="2:29" x14ac:dyDescent="0.2">
      <c r="B345" s="40"/>
      <c r="C345" s="40"/>
      <c r="E345" s="40"/>
      <c r="F345" s="40"/>
      <c r="G345" s="40"/>
      <c r="I345" s="40"/>
      <c r="O345" s="40"/>
    </row>
    <row r="346" spans="2:29" x14ac:dyDescent="0.2">
      <c r="B346" s="40"/>
      <c r="C346" s="40"/>
      <c r="E346" s="40"/>
      <c r="F346" s="40"/>
      <c r="G346" s="40"/>
    </row>
    <row r="347" spans="2:29" x14ac:dyDescent="0.2">
      <c r="B347" s="40"/>
      <c r="C347" s="40"/>
      <c r="E347" s="40"/>
      <c r="F347" s="40"/>
      <c r="G347" s="40"/>
    </row>
    <row r="348" spans="2:29" x14ac:dyDescent="0.2">
      <c r="B348" s="40"/>
      <c r="C348" s="40"/>
      <c r="E348" s="40"/>
      <c r="F348" s="40"/>
      <c r="G348" s="40"/>
      <c r="I348" s="40"/>
      <c r="O348" s="40"/>
    </row>
    <row r="349" spans="2:29" x14ac:dyDescent="0.2">
      <c r="B349" s="40"/>
      <c r="C349" s="40"/>
      <c r="E349" s="40"/>
      <c r="F349" s="40"/>
      <c r="G349" s="40"/>
      <c r="I349" s="40"/>
      <c r="O349" s="40"/>
    </row>
    <row r="350" spans="2:29" x14ac:dyDescent="0.2">
      <c r="B350" s="40"/>
      <c r="C350" s="40"/>
      <c r="E350" s="40"/>
      <c r="F350" s="40"/>
      <c r="G350" s="40"/>
      <c r="I350" s="40"/>
      <c r="O350" s="40"/>
    </row>
    <row r="351" spans="2:29" x14ac:dyDescent="0.2">
      <c r="B351" s="40"/>
      <c r="C351" s="40"/>
      <c r="E351" s="40"/>
      <c r="F351" s="40"/>
      <c r="G351" s="40"/>
      <c r="I351" s="40"/>
      <c r="O351" s="40"/>
    </row>
    <row r="352" spans="2:29" x14ac:dyDescent="0.2">
      <c r="B352" s="40"/>
      <c r="C352" s="40"/>
      <c r="E352" s="40"/>
      <c r="F352" s="40"/>
      <c r="G352" s="40"/>
    </row>
    <row r="353" spans="2:15" x14ac:dyDescent="0.2">
      <c r="B353" s="40"/>
      <c r="C353" s="40"/>
      <c r="E353" s="40"/>
      <c r="F353" s="40"/>
      <c r="G353" s="40"/>
    </row>
    <row r="354" spans="2:15" x14ac:dyDescent="0.2">
      <c r="B354" s="40"/>
      <c r="C354" s="40"/>
      <c r="E354" s="40"/>
      <c r="F354" s="40"/>
      <c r="G354" s="40"/>
    </row>
    <row r="355" spans="2:15" x14ac:dyDescent="0.2">
      <c r="B355" s="40"/>
      <c r="C355" s="40"/>
      <c r="E355" s="40"/>
      <c r="F355" s="40"/>
      <c r="G355" s="40"/>
    </row>
    <row r="356" spans="2:15" x14ac:dyDescent="0.2">
      <c r="B356" s="40"/>
      <c r="C356" s="40"/>
      <c r="E356" s="40"/>
      <c r="F356" s="40"/>
      <c r="G356" s="40"/>
      <c r="I356" s="40"/>
      <c r="O356" s="40"/>
    </row>
    <row r="357" spans="2:15" x14ac:dyDescent="0.2">
      <c r="B357" s="40"/>
      <c r="C357" s="40"/>
      <c r="E357" s="40"/>
      <c r="F357" s="40"/>
      <c r="G357" s="40"/>
      <c r="I357" s="40"/>
      <c r="O357" s="40"/>
    </row>
    <row r="358" spans="2:15" x14ac:dyDescent="0.2">
      <c r="B358" s="40"/>
      <c r="C358" s="40"/>
      <c r="E358" s="40"/>
      <c r="F358" s="40"/>
      <c r="G358" s="40"/>
      <c r="I358" s="40"/>
      <c r="O358" s="40"/>
    </row>
    <row r="359" spans="2:15" x14ac:dyDescent="0.2">
      <c r="B359" s="40"/>
      <c r="C359" s="40"/>
      <c r="E359" s="40"/>
      <c r="F359" s="40"/>
      <c r="G359" s="40"/>
      <c r="I359" s="40"/>
      <c r="O359" s="40"/>
    </row>
    <row r="360" spans="2:15" x14ac:dyDescent="0.2">
      <c r="B360" s="40"/>
      <c r="C360" s="40"/>
      <c r="E360" s="40"/>
      <c r="F360" s="40"/>
      <c r="G360" s="40"/>
      <c r="I360" s="40"/>
      <c r="O360" s="40"/>
    </row>
    <row r="361" spans="2:15" x14ac:dyDescent="0.2">
      <c r="B361" s="40"/>
      <c r="C361" s="40"/>
      <c r="E361" s="40"/>
      <c r="F361" s="40"/>
      <c r="G361" s="40"/>
      <c r="I361" s="40"/>
      <c r="O361" s="40"/>
    </row>
    <row r="362" spans="2:15" x14ac:dyDescent="0.2">
      <c r="B362" s="40"/>
      <c r="C362" s="40"/>
      <c r="E362" s="40"/>
      <c r="F362" s="40"/>
      <c r="G362" s="40"/>
      <c r="I362" s="40"/>
      <c r="O362" s="40"/>
    </row>
    <row r="363" spans="2:15" x14ac:dyDescent="0.2">
      <c r="B363" s="40"/>
      <c r="C363" s="40"/>
      <c r="E363" s="40"/>
      <c r="F363" s="40"/>
      <c r="G363" s="40"/>
      <c r="I363" s="40"/>
      <c r="O363" s="40"/>
    </row>
    <row r="364" spans="2:15" x14ac:dyDescent="0.2">
      <c r="B364" s="40"/>
      <c r="C364" s="40"/>
      <c r="E364" s="40"/>
      <c r="F364" s="40"/>
      <c r="G364" s="40"/>
      <c r="I364" s="40"/>
      <c r="O364" s="40"/>
    </row>
    <row r="365" spans="2:15" x14ac:dyDescent="0.2">
      <c r="B365" s="40"/>
      <c r="C365" s="40"/>
      <c r="E365" s="40"/>
      <c r="F365" s="40"/>
      <c r="G365" s="40"/>
      <c r="I365" s="40"/>
      <c r="O365" s="40"/>
    </row>
    <row r="366" spans="2:15" x14ac:dyDescent="0.2">
      <c r="B366" s="40"/>
      <c r="C366" s="40"/>
      <c r="E366" s="40"/>
      <c r="F366" s="40"/>
      <c r="G366" s="40"/>
    </row>
    <row r="367" spans="2:15" x14ac:dyDescent="0.2">
      <c r="B367" s="40"/>
      <c r="C367" s="40"/>
      <c r="E367" s="40"/>
      <c r="F367" s="40"/>
      <c r="G367" s="40"/>
    </row>
    <row r="368" spans="2:15" x14ac:dyDescent="0.2">
      <c r="B368" s="40"/>
      <c r="C368" s="40"/>
      <c r="E368" s="40"/>
      <c r="F368" s="40"/>
      <c r="G368" s="40"/>
    </row>
    <row r="369" spans="2:33" x14ac:dyDescent="0.2">
      <c r="B369" s="40"/>
      <c r="C369" s="40"/>
      <c r="E369" s="40"/>
      <c r="F369" s="40"/>
      <c r="G369" s="40"/>
      <c r="I369" s="40"/>
      <c r="O369" s="40"/>
      <c r="AA369" s="98"/>
    </row>
    <row r="370" spans="2:33" x14ac:dyDescent="0.2">
      <c r="B370" s="40"/>
      <c r="C370" s="40"/>
      <c r="E370" s="40"/>
      <c r="F370" s="40"/>
      <c r="G370" s="40"/>
      <c r="AA370" s="98"/>
      <c r="AG370" s="43"/>
    </row>
    <row r="371" spans="2:33" x14ac:dyDescent="0.2">
      <c r="B371" s="40"/>
      <c r="C371" s="40"/>
      <c r="E371" s="40"/>
      <c r="F371" s="40"/>
      <c r="G371" s="40"/>
      <c r="AA371" s="98"/>
    </row>
    <row r="372" spans="2:33" x14ac:dyDescent="0.2">
      <c r="B372" s="40"/>
      <c r="C372" s="40"/>
      <c r="E372" s="40"/>
      <c r="F372" s="40"/>
      <c r="G372" s="40"/>
      <c r="AA372" s="98"/>
    </row>
    <row r="373" spans="2:33" x14ac:dyDescent="0.2">
      <c r="B373" s="40"/>
      <c r="C373" s="40"/>
      <c r="E373" s="40"/>
      <c r="F373" s="40"/>
      <c r="G373" s="40"/>
    </row>
    <row r="374" spans="2:33" x14ac:dyDescent="0.2">
      <c r="B374" s="40"/>
      <c r="C374" s="40"/>
      <c r="E374" s="40"/>
      <c r="F374" s="40"/>
      <c r="G374" s="40"/>
      <c r="I374" s="40"/>
      <c r="O374" s="40"/>
    </row>
    <row r="375" spans="2:33" x14ac:dyDescent="0.2">
      <c r="B375" s="40"/>
      <c r="C375" s="40"/>
      <c r="E375" s="40"/>
      <c r="F375" s="40"/>
      <c r="G375" s="40"/>
      <c r="I375" s="40"/>
      <c r="O375" s="40"/>
    </row>
    <row r="376" spans="2:33" x14ac:dyDescent="0.2">
      <c r="B376" s="40"/>
      <c r="C376" s="40"/>
      <c r="E376" s="40"/>
      <c r="F376" s="40"/>
      <c r="G376" s="40"/>
      <c r="I376" s="40"/>
      <c r="O376" s="40"/>
    </row>
    <row r="377" spans="2:33" x14ac:dyDescent="0.2">
      <c r="B377" s="40"/>
      <c r="C377" s="40"/>
      <c r="E377" s="40"/>
      <c r="F377" s="40"/>
      <c r="G377" s="40"/>
      <c r="I377" s="40"/>
      <c r="O377" s="40"/>
    </row>
    <row r="378" spans="2:33" x14ac:dyDescent="0.2">
      <c r="B378" s="40"/>
      <c r="C378" s="40"/>
      <c r="E378" s="40"/>
      <c r="F378" s="40"/>
      <c r="G378" s="40"/>
    </row>
    <row r="379" spans="2:33" x14ac:dyDescent="0.2">
      <c r="B379" s="40"/>
      <c r="C379" s="40"/>
      <c r="E379" s="40"/>
      <c r="F379" s="40"/>
      <c r="G379" s="40"/>
    </row>
    <row r="380" spans="2:33" x14ac:dyDescent="0.2">
      <c r="B380" s="40"/>
      <c r="C380" s="40"/>
      <c r="E380" s="40"/>
      <c r="F380" s="40"/>
      <c r="G380" s="40"/>
      <c r="I380" s="40"/>
      <c r="O380" s="40"/>
    </row>
    <row r="381" spans="2:33" x14ac:dyDescent="0.2">
      <c r="B381" s="40"/>
      <c r="C381" s="40"/>
      <c r="E381" s="40"/>
      <c r="F381" s="40"/>
      <c r="G381" s="40"/>
    </row>
    <row r="382" spans="2:33" x14ac:dyDescent="0.2">
      <c r="B382" s="40"/>
      <c r="C382" s="40"/>
      <c r="E382" s="40"/>
      <c r="F382" s="40"/>
      <c r="G382" s="40"/>
      <c r="I382" s="40"/>
      <c r="O382" s="40"/>
    </row>
    <row r="383" spans="2:33" x14ac:dyDescent="0.2">
      <c r="B383" s="40"/>
      <c r="C383" s="40"/>
      <c r="E383" s="40"/>
      <c r="F383" s="40"/>
      <c r="G383" s="40"/>
      <c r="I383" s="40"/>
      <c r="O383" s="40"/>
    </row>
    <row r="384" spans="2:33" x14ac:dyDescent="0.2">
      <c r="B384" s="40"/>
      <c r="C384" s="40"/>
      <c r="E384" s="40"/>
      <c r="F384" s="40"/>
      <c r="G384" s="40"/>
      <c r="I384" s="40"/>
      <c r="O384" s="40"/>
    </row>
    <row r="385" spans="2:27" x14ac:dyDescent="0.2">
      <c r="B385" s="40"/>
      <c r="C385" s="40"/>
      <c r="E385" s="40"/>
      <c r="F385" s="40"/>
      <c r="G385" s="40"/>
      <c r="I385" s="40"/>
      <c r="O385" s="40"/>
    </row>
    <row r="386" spans="2:27" x14ac:dyDescent="0.2">
      <c r="B386" s="40"/>
      <c r="C386" s="40"/>
      <c r="E386" s="40"/>
      <c r="F386" s="40"/>
      <c r="G386" s="40"/>
      <c r="I386" s="40"/>
      <c r="O386" s="40"/>
    </row>
    <row r="387" spans="2:27" x14ac:dyDescent="0.2">
      <c r="B387" s="40"/>
      <c r="C387" s="40"/>
      <c r="E387" s="40"/>
      <c r="F387" s="40"/>
      <c r="G387" s="40"/>
      <c r="I387" s="40"/>
      <c r="O387" s="40"/>
    </row>
    <row r="388" spans="2:27" x14ac:dyDescent="0.2">
      <c r="B388" s="40"/>
      <c r="C388" s="40"/>
      <c r="E388" s="40"/>
      <c r="F388" s="40"/>
      <c r="G388" s="40"/>
      <c r="I388" s="40"/>
      <c r="O388" s="40"/>
    </row>
    <row r="389" spans="2:27" x14ac:dyDescent="0.2">
      <c r="B389" s="40"/>
      <c r="C389" s="40"/>
      <c r="E389" s="40"/>
      <c r="F389" s="40"/>
      <c r="G389" s="40"/>
      <c r="I389" s="40"/>
      <c r="O389" s="40"/>
    </row>
    <row r="390" spans="2:27" x14ac:dyDescent="0.2">
      <c r="B390" s="40"/>
      <c r="C390" s="40"/>
      <c r="E390" s="40"/>
      <c r="F390" s="40"/>
      <c r="G390" s="40"/>
      <c r="I390" s="40"/>
      <c r="O390" s="40"/>
    </row>
    <row r="391" spans="2:27" x14ac:dyDescent="0.2">
      <c r="B391" s="40"/>
      <c r="C391" s="40"/>
      <c r="E391" s="40"/>
      <c r="F391" s="40"/>
      <c r="G391" s="40"/>
    </row>
    <row r="392" spans="2:27" x14ac:dyDescent="0.2">
      <c r="B392" s="40"/>
      <c r="C392" s="40"/>
      <c r="E392" s="40"/>
      <c r="F392" s="40"/>
      <c r="G392" s="40"/>
    </row>
    <row r="393" spans="2:27" x14ac:dyDescent="0.2">
      <c r="B393" s="40"/>
      <c r="C393" s="40"/>
      <c r="E393" s="40"/>
      <c r="F393" s="40"/>
      <c r="G393" s="40"/>
    </row>
    <row r="394" spans="2:27" x14ac:dyDescent="0.2">
      <c r="B394" s="40"/>
      <c r="C394" s="40"/>
      <c r="E394" s="40"/>
      <c r="F394" s="40"/>
      <c r="G394" s="40"/>
      <c r="I394" s="40"/>
      <c r="O394" s="40"/>
    </row>
    <row r="395" spans="2:27" x14ac:dyDescent="0.2">
      <c r="B395" s="40"/>
      <c r="C395" s="40"/>
      <c r="E395" s="40"/>
      <c r="F395" s="40"/>
      <c r="G395" s="40"/>
      <c r="I395" s="40"/>
      <c r="O395" s="40"/>
    </row>
    <row r="396" spans="2:27" x14ac:dyDescent="0.2">
      <c r="B396" s="40"/>
      <c r="C396" s="40"/>
      <c r="E396" s="40"/>
      <c r="F396" s="40"/>
      <c r="G396" s="40"/>
      <c r="I396" s="40"/>
      <c r="O396" s="40"/>
    </row>
    <row r="397" spans="2:27" x14ac:dyDescent="0.2">
      <c r="B397" s="40"/>
      <c r="C397" s="40"/>
      <c r="E397" s="40"/>
      <c r="F397" s="40"/>
      <c r="G397" s="40"/>
      <c r="I397" s="40"/>
      <c r="O397" s="40"/>
    </row>
    <row r="398" spans="2:27" x14ac:dyDescent="0.2">
      <c r="B398" s="40"/>
      <c r="C398" s="40"/>
      <c r="E398" s="40"/>
      <c r="F398" s="40"/>
      <c r="G398" s="40"/>
      <c r="O398" s="40"/>
    </row>
    <row r="399" spans="2:27" x14ac:dyDescent="0.2">
      <c r="B399" s="40"/>
      <c r="C399" s="40"/>
      <c r="E399" s="40"/>
      <c r="F399" s="40"/>
      <c r="G399" s="40"/>
      <c r="O399" s="40"/>
    </row>
    <row r="400" spans="2:27" x14ac:dyDescent="0.2">
      <c r="B400" s="40"/>
      <c r="C400" s="40"/>
      <c r="E400" s="40"/>
      <c r="F400" s="40"/>
      <c r="G400" s="40"/>
      <c r="I400" s="40"/>
      <c r="O400" s="40"/>
      <c r="AA400" s="98"/>
    </row>
    <row r="401" spans="2:27" x14ac:dyDescent="0.2">
      <c r="B401" s="40"/>
      <c r="C401" s="40"/>
      <c r="E401" s="40"/>
      <c r="F401" s="40"/>
      <c r="G401" s="40"/>
      <c r="I401" s="40"/>
      <c r="O401" s="40"/>
      <c r="AA401" s="98"/>
    </row>
    <row r="402" spans="2:27" x14ac:dyDescent="0.2">
      <c r="B402" s="40"/>
      <c r="C402" s="40"/>
      <c r="E402" s="40"/>
      <c r="F402" s="40"/>
      <c r="G402" s="40"/>
      <c r="I402" s="40"/>
      <c r="O402" s="40"/>
    </row>
    <row r="403" spans="2:27" x14ac:dyDescent="0.2">
      <c r="B403" s="40"/>
      <c r="C403" s="40"/>
      <c r="E403" s="40"/>
      <c r="F403" s="40"/>
      <c r="G403" s="40"/>
      <c r="I403" s="40"/>
      <c r="O403" s="40"/>
    </row>
    <row r="404" spans="2:27" x14ac:dyDescent="0.2">
      <c r="B404" s="40"/>
      <c r="C404" s="40"/>
      <c r="E404" s="40"/>
      <c r="F404" s="40"/>
      <c r="G404" s="40"/>
      <c r="I404" s="40"/>
      <c r="O404" s="40"/>
    </row>
    <row r="405" spans="2:27" x14ac:dyDescent="0.2">
      <c r="B405" s="40"/>
      <c r="C405" s="40"/>
      <c r="E405" s="40"/>
      <c r="F405" s="40"/>
      <c r="G405" s="40"/>
      <c r="I405" s="40"/>
      <c r="O405" s="40"/>
    </row>
    <row r="406" spans="2:27" x14ac:dyDescent="0.2">
      <c r="B406" s="40"/>
      <c r="C406" s="40"/>
      <c r="E406" s="40"/>
      <c r="F406" s="40"/>
      <c r="G406" s="40"/>
    </row>
    <row r="407" spans="2:27" x14ac:dyDescent="0.2">
      <c r="B407" s="40"/>
      <c r="C407" s="40"/>
      <c r="E407" s="40"/>
      <c r="F407" s="40"/>
      <c r="G407" s="40"/>
    </row>
    <row r="408" spans="2:27" x14ac:dyDescent="0.2">
      <c r="B408" s="40"/>
      <c r="C408" s="40"/>
      <c r="E408" s="40"/>
      <c r="F408" s="40"/>
      <c r="G408" s="40"/>
    </row>
    <row r="409" spans="2:27" x14ac:dyDescent="0.2">
      <c r="B409" s="40"/>
      <c r="C409" s="40"/>
      <c r="E409" s="40"/>
      <c r="F409" s="40"/>
      <c r="G409" s="40"/>
      <c r="I409" s="40"/>
      <c r="O409" s="40"/>
    </row>
    <row r="410" spans="2:27" x14ac:dyDescent="0.2">
      <c r="B410" s="40"/>
      <c r="C410" s="40"/>
      <c r="E410" s="40"/>
      <c r="F410" s="40"/>
      <c r="G410" s="40"/>
    </row>
    <row r="414" spans="2:27" x14ac:dyDescent="0.2">
      <c r="B414" s="40"/>
      <c r="C414" s="40"/>
      <c r="E414" s="40"/>
      <c r="F414" s="40"/>
      <c r="G414" s="40"/>
    </row>
    <row r="415" spans="2:27" x14ac:dyDescent="0.2">
      <c r="B415" s="40"/>
      <c r="C415" s="40"/>
      <c r="E415" s="40"/>
      <c r="F415" s="40"/>
      <c r="G415" s="40"/>
    </row>
  </sheetData>
  <phoneticPr fontId="18" type="noConversion"/>
  <conditionalFormatting sqref="R57:R67">
    <cfRule type="duplicateValues" dxfId="1" priority="5"/>
  </conditionalFormatting>
  <conditionalFormatting sqref="T57:T67">
    <cfRule type="duplicateValues" dxfId="0" priority="4"/>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6234B-F521-4D94-B5D2-A928D8B5D4E7}">
  <sheetPr filterMode="1"/>
  <dimension ref="A1:AD411"/>
  <sheetViews>
    <sheetView topLeftCell="C1" zoomScale="70" zoomScaleNormal="70" workbookViewId="0">
      <selection activeCell="J113" sqref="J113"/>
    </sheetView>
  </sheetViews>
  <sheetFormatPr baseColWidth="10" defaultColWidth="8.5" defaultRowHeight="14" x14ac:dyDescent="0.2"/>
  <cols>
    <col min="1" max="1" width="8.5" style="18"/>
    <col min="2" max="2" width="13.5" style="18" customWidth="1"/>
    <col min="3" max="4" width="8.5" style="18"/>
    <col min="5" max="5" width="27" style="18" customWidth="1"/>
    <col min="6" max="6" width="13.6640625" style="18" customWidth="1"/>
    <col min="7" max="8" width="16.1640625" style="18" customWidth="1"/>
    <col min="9" max="9" width="8.5" style="18"/>
    <col min="10" max="10" width="49" style="18" customWidth="1"/>
    <col min="11" max="11" width="26.5" style="18" customWidth="1"/>
    <col min="12" max="12" width="8.5" style="18"/>
    <col min="13" max="13" width="24.6640625" style="18" customWidth="1"/>
    <col min="14" max="16" width="8.5" style="18"/>
    <col min="17" max="17" width="21.5" style="18" customWidth="1"/>
    <col min="18" max="18" width="34.5" style="18" customWidth="1"/>
    <col min="19" max="20" width="8.5" style="18"/>
    <col min="21" max="21" width="70.33203125" style="18" customWidth="1"/>
    <col min="22" max="22" width="37.5" style="18" bestFit="1" customWidth="1"/>
    <col min="23" max="23" width="14.6640625" style="18" customWidth="1"/>
    <col min="24" max="24" width="15.1640625" style="18" customWidth="1"/>
    <col min="25" max="26" width="8.5" style="18"/>
    <col min="27" max="27" width="31.5" style="18" customWidth="1"/>
    <col min="28" max="28" width="43.6640625" style="14" customWidth="1"/>
    <col min="29" max="29" width="49" style="18" customWidth="1"/>
    <col min="30" max="30" width="8.5" style="14"/>
    <col min="31" max="16384" width="8.5" style="18"/>
  </cols>
  <sheetData>
    <row r="1" spans="1:30" s="30" customFormat="1" ht="30" x14ac:dyDescent="0.2">
      <c r="A1" s="30" t="s">
        <v>275</v>
      </c>
      <c r="B1" s="31" t="s">
        <v>42</v>
      </c>
      <c r="C1" s="31" t="s">
        <v>39</v>
      </c>
      <c r="D1" s="31" t="s">
        <v>276</v>
      </c>
      <c r="E1" s="31" t="s">
        <v>277</v>
      </c>
      <c r="F1" s="31" t="s">
        <v>278</v>
      </c>
      <c r="G1" s="30" t="s">
        <v>279</v>
      </c>
      <c r="H1" s="30" t="s">
        <v>280</v>
      </c>
      <c r="I1" s="30" t="s">
        <v>281</v>
      </c>
      <c r="J1" s="31" t="s">
        <v>282</v>
      </c>
      <c r="K1" s="30" t="s">
        <v>283</v>
      </c>
      <c r="L1" s="30" t="s">
        <v>284</v>
      </c>
      <c r="M1" s="30" t="s">
        <v>285</v>
      </c>
      <c r="N1" s="30" t="s">
        <v>286</v>
      </c>
      <c r="O1" s="30" t="s">
        <v>287</v>
      </c>
      <c r="P1" s="30" t="s">
        <v>288</v>
      </c>
      <c r="Q1" s="30" t="s">
        <v>289</v>
      </c>
      <c r="R1" s="30" t="s">
        <v>290</v>
      </c>
      <c r="S1" s="30" t="s">
        <v>291</v>
      </c>
      <c r="T1" s="30" t="s">
        <v>292</v>
      </c>
      <c r="U1" s="30" t="s">
        <v>293</v>
      </c>
      <c r="V1" s="30" t="s">
        <v>294</v>
      </c>
      <c r="W1" s="32" t="s">
        <v>275</v>
      </c>
      <c r="X1" s="32" t="s">
        <v>295</v>
      </c>
      <c r="Y1" s="33" t="s">
        <v>296</v>
      </c>
      <c r="Z1" s="34" t="s">
        <v>297</v>
      </c>
      <c r="AA1" s="34" t="s">
        <v>298</v>
      </c>
      <c r="AB1" s="35" t="s">
        <v>299</v>
      </c>
      <c r="AC1" s="31" t="s">
        <v>300</v>
      </c>
      <c r="AD1" s="36" t="s">
        <v>301</v>
      </c>
    </row>
    <row r="2" spans="1:30" ht="15" hidden="1" x14ac:dyDescent="0.2">
      <c r="A2" s="18">
        <v>157</v>
      </c>
      <c r="B2" s="18" t="s">
        <v>302</v>
      </c>
      <c r="C2" s="18">
        <v>9999</v>
      </c>
      <c r="D2" s="18">
        <v>9999</v>
      </c>
      <c r="E2" s="23" t="s">
        <v>303</v>
      </c>
      <c r="F2" s="12" t="s">
        <v>304</v>
      </c>
      <c r="G2" s="23" t="s">
        <v>305</v>
      </c>
      <c r="H2" s="23" t="s">
        <v>306</v>
      </c>
      <c r="I2" s="18" t="s">
        <v>86</v>
      </c>
      <c r="J2" s="23" t="s">
        <v>307</v>
      </c>
      <c r="K2" s="24">
        <v>200</v>
      </c>
      <c r="L2" s="22" t="s">
        <v>86</v>
      </c>
      <c r="M2" s="22">
        <v>250</v>
      </c>
      <c r="N2" s="22" t="s">
        <v>86</v>
      </c>
      <c r="O2" s="22" t="s">
        <v>86</v>
      </c>
      <c r="P2" s="22" t="s">
        <v>86</v>
      </c>
      <c r="Q2" s="23" t="s">
        <v>308</v>
      </c>
      <c r="R2" s="23" t="s">
        <v>309</v>
      </c>
      <c r="S2" s="20">
        <v>9999</v>
      </c>
      <c r="T2" s="20">
        <v>9999</v>
      </c>
      <c r="U2" s="23" t="s">
        <v>310</v>
      </c>
      <c r="V2" s="23" t="s">
        <v>311</v>
      </c>
      <c r="Y2" s="26" t="s">
        <v>312</v>
      </c>
      <c r="Z2" s="23" t="s">
        <v>313</v>
      </c>
      <c r="AA2" s="23" t="s">
        <v>314</v>
      </c>
      <c r="AB2" s="27" t="s">
        <v>315</v>
      </c>
      <c r="AC2" s="23" t="s">
        <v>316</v>
      </c>
      <c r="AD2" s="14" t="s">
        <v>317</v>
      </c>
    </row>
    <row r="3" spans="1:30" hidden="1" x14ac:dyDescent="0.2">
      <c r="A3" s="18">
        <v>167</v>
      </c>
      <c r="B3" s="18" t="s">
        <v>302</v>
      </c>
      <c r="C3" s="18">
        <v>9999</v>
      </c>
      <c r="D3" s="18">
        <v>9999</v>
      </c>
      <c r="E3" s="23" t="s">
        <v>303</v>
      </c>
      <c r="F3" s="20">
        <v>9999</v>
      </c>
      <c r="G3" s="23" t="s">
        <v>306</v>
      </c>
      <c r="H3" s="18" t="s">
        <v>86</v>
      </c>
      <c r="I3" s="18" t="s">
        <v>86</v>
      </c>
      <c r="J3" s="23" t="s">
        <v>306</v>
      </c>
      <c r="K3" s="24">
        <v>250</v>
      </c>
      <c r="L3" s="22" t="s">
        <v>86</v>
      </c>
      <c r="M3" s="22" t="s">
        <v>86</v>
      </c>
      <c r="N3" s="22" t="s">
        <v>86</v>
      </c>
      <c r="O3" s="22" t="s">
        <v>86</v>
      </c>
      <c r="P3" s="22" t="s">
        <v>86</v>
      </c>
      <c r="Q3" s="23" t="s">
        <v>318</v>
      </c>
      <c r="R3" s="23" t="s">
        <v>319</v>
      </c>
      <c r="S3" s="20">
        <v>9999</v>
      </c>
      <c r="T3" s="20">
        <v>9999</v>
      </c>
      <c r="U3" s="23" t="s">
        <v>310</v>
      </c>
      <c r="V3" s="23" t="s">
        <v>311</v>
      </c>
      <c r="Y3" s="23" t="s">
        <v>320</v>
      </c>
      <c r="Z3" s="23" t="s">
        <v>313</v>
      </c>
      <c r="AA3" s="23" t="s">
        <v>314</v>
      </c>
      <c r="AB3" s="27" t="s">
        <v>321</v>
      </c>
      <c r="AC3" s="23" t="s">
        <v>306</v>
      </c>
      <c r="AD3" s="14" t="s">
        <v>317</v>
      </c>
    </row>
    <row r="4" spans="1:30" hidden="1" x14ac:dyDescent="0.2">
      <c r="A4" s="18">
        <v>41</v>
      </c>
      <c r="B4" s="18" t="s">
        <v>149</v>
      </c>
      <c r="C4" s="18">
        <v>9999</v>
      </c>
      <c r="D4" s="18">
        <v>9999</v>
      </c>
      <c r="E4" s="18" t="s">
        <v>322</v>
      </c>
      <c r="F4" s="20">
        <v>9999</v>
      </c>
      <c r="G4" s="18" t="s">
        <v>323</v>
      </c>
      <c r="H4" s="18" t="s">
        <v>324</v>
      </c>
      <c r="I4" s="18" t="s">
        <v>86</v>
      </c>
      <c r="J4" s="23" t="s">
        <v>325</v>
      </c>
      <c r="K4" s="18">
        <v>20</v>
      </c>
      <c r="L4" s="18" t="s">
        <v>86</v>
      </c>
      <c r="M4" s="18">
        <v>120</v>
      </c>
      <c r="N4" s="18" t="s">
        <v>86</v>
      </c>
      <c r="O4" s="18" t="s">
        <v>86</v>
      </c>
      <c r="P4" s="18" t="s">
        <v>86</v>
      </c>
      <c r="Q4" s="18" t="s">
        <v>326</v>
      </c>
      <c r="R4" s="21" t="s">
        <v>327</v>
      </c>
      <c r="S4" s="20">
        <v>9999</v>
      </c>
      <c r="T4" s="20">
        <v>9999</v>
      </c>
      <c r="U4" s="18" t="s">
        <v>328</v>
      </c>
      <c r="V4" s="18" t="s">
        <v>329</v>
      </c>
      <c r="W4" s="18" t="s">
        <v>330</v>
      </c>
      <c r="X4" s="25">
        <v>41262</v>
      </c>
      <c r="Y4" s="23" t="s">
        <v>331</v>
      </c>
      <c r="Z4" s="23" t="s">
        <v>332</v>
      </c>
      <c r="AA4" s="23" t="s">
        <v>314</v>
      </c>
      <c r="AB4" s="27" t="s">
        <v>333</v>
      </c>
      <c r="AC4" s="18" t="s">
        <v>334</v>
      </c>
    </row>
    <row r="5" spans="1:30" hidden="1" x14ac:dyDescent="0.2">
      <c r="A5" s="18">
        <v>43</v>
      </c>
      <c r="B5" s="18" t="s">
        <v>335</v>
      </c>
      <c r="C5" s="18">
        <v>9999</v>
      </c>
      <c r="D5" s="18">
        <v>9999</v>
      </c>
      <c r="E5" s="18" t="s">
        <v>303</v>
      </c>
      <c r="F5" s="20">
        <v>9999</v>
      </c>
      <c r="G5" s="18" t="s">
        <v>323</v>
      </c>
      <c r="H5" s="18" t="s">
        <v>324</v>
      </c>
      <c r="I5" s="18" t="s">
        <v>86</v>
      </c>
      <c r="J5" s="23" t="s">
        <v>325</v>
      </c>
      <c r="K5" s="18">
        <v>20</v>
      </c>
      <c r="L5" s="18" t="s">
        <v>86</v>
      </c>
      <c r="M5" s="18">
        <v>120</v>
      </c>
      <c r="N5" s="18" t="s">
        <v>86</v>
      </c>
      <c r="O5" s="18" t="s">
        <v>86</v>
      </c>
      <c r="P5" s="18" t="s">
        <v>86</v>
      </c>
      <c r="Q5" s="18" t="s">
        <v>326</v>
      </c>
      <c r="R5" s="21" t="s">
        <v>336</v>
      </c>
      <c r="S5" s="20" t="s">
        <v>337</v>
      </c>
      <c r="T5" s="20">
        <v>9999</v>
      </c>
      <c r="U5" s="18" t="s">
        <v>328</v>
      </c>
      <c r="V5" s="18" t="s">
        <v>329</v>
      </c>
      <c r="W5" s="18" t="s">
        <v>338</v>
      </c>
      <c r="X5" s="25">
        <v>41918</v>
      </c>
      <c r="Y5" s="23" t="s">
        <v>339</v>
      </c>
      <c r="Z5" s="23" t="s">
        <v>332</v>
      </c>
      <c r="AA5" s="23" t="s">
        <v>338</v>
      </c>
      <c r="AB5" s="27" t="s">
        <v>340</v>
      </c>
      <c r="AC5" s="18" t="s">
        <v>334</v>
      </c>
    </row>
    <row r="6" spans="1:30" hidden="1" x14ac:dyDescent="0.2">
      <c r="A6" s="18">
        <v>54</v>
      </c>
      <c r="B6" s="18" t="s">
        <v>335</v>
      </c>
      <c r="C6" s="18">
        <v>9999</v>
      </c>
      <c r="D6" s="18">
        <v>9999</v>
      </c>
      <c r="E6" s="18" t="s">
        <v>303</v>
      </c>
      <c r="F6" s="20">
        <v>9999</v>
      </c>
      <c r="G6" s="18" t="s">
        <v>323</v>
      </c>
      <c r="H6" s="18" t="s">
        <v>324</v>
      </c>
      <c r="I6" s="18" t="s">
        <v>86</v>
      </c>
      <c r="J6" s="23" t="s">
        <v>325</v>
      </c>
      <c r="K6" s="18">
        <v>40</v>
      </c>
      <c r="L6" s="18" t="s">
        <v>86</v>
      </c>
      <c r="M6" s="18">
        <v>240</v>
      </c>
      <c r="N6" s="18" t="s">
        <v>86</v>
      </c>
      <c r="O6" s="18" t="s">
        <v>86</v>
      </c>
      <c r="P6" s="18" t="s">
        <v>86</v>
      </c>
      <c r="Q6" s="18" t="s">
        <v>326</v>
      </c>
      <c r="R6" s="21" t="s">
        <v>341</v>
      </c>
      <c r="S6" s="20">
        <v>9999</v>
      </c>
      <c r="T6" s="20">
        <v>9999</v>
      </c>
      <c r="U6" s="18" t="s">
        <v>328</v>
      </c>
      <c r="V6" s="18" t="s">
        <v>329</v>
      </c>
      <c r="W6" s="18" t="s">
        <v>342</v>
      </c>
      <c r="X6" s="25">
        <v>42846</v>
      </c>
      <c r="Y6" s="23" t="s">
        <v>343</v>
      </c>
      <c r="Z6" s="23" t="s">
        <v>332</v>
      </c>
      <c r="AA6" s="23" t="s">
        <v>342</v>
      </c>
      <c r="AB6" s="28" t="s">
        <v>344</v>
      </c>
      <c r="AC6" s="18" t="s">
        <v>334</v>
      </c>
    </row>
    <row r="7" spans="1:30" hidden="1" x14ac:dyDescent="0.2">
      <c r="A7" s="18">
        <v>55</v>
      </c>
      <c r="B7" s="18" t="s">
        <v>335</v>
      </c>
      <c r="C7" s="18">
        <v>9999</v>
      </c>
      <c r="D7" s="18">
        <v>9999</v>
      </c>
      <c r="E7" s="18" t="s">
        <v>303</v>
      </c>
      <c r="F7" s="20">
        <v>9999</v>
      </c>
      <c r="G7" s="18" t="s">
        <v>323</v>
      </c>
      <c r="H7" s="18" t="s">
        <v>324</v>
      </c>
      <c r="I7" s="18" t="s">
        <v>86</v>
      </c>
      <c r="J7" s="23" t="s">
        <v>325</v>
      </c>
      <c r="K7" s="18">
        <v>60</v>
      </c>
      <c r="L7" s="18" t="s">
        <v>86</v>
      </c>
      <c r="M7" s="18">
        <v>360</v>
      </c>
      <c r="N7" s="18" t="s">
        <v>86</v>
      </c>
      <c r="O7" s="18" t="s">
        <v>86</v>
      </c>
      <c r="P7" s="18" t="s">
        <v>86</v>
      </c>
      <c r="Q7" s="18" t="s">
        <v>326</v>
      </c>
      <c r="R7" s="21" t="s">
        <v>341</v>
      </c>
      <c r="S7" s="20">
        <v>9999</v>
      </c>
      <c r="T7" s="20">
        <v>9999</v>
      </c>
      <c r="U7" s="18" t="s">
        <v>328</v>
      </c>
      <c r="V7" s="18" t="s">
        <v>329</v>
      </c>
      <c r="W7" s="18" t="s">
        <v>345</v>
      </c>
      <c r="X7" s="25">
        <v>42846</v>
      </c>
      <c r="Y7" s="23" t="s">
        <v>346</v>
      </c>
      <c r="Z7" s="23" t="s">
        <v>332</v>
      </c>
      <c r="AA7" s="23" t="s">
        <v>345</v>
      </c>
      <c r="AB7" s="28" t="s">
        <v>344</v>
      </c>
      <c r="AC7" s="18" t="s">
        <v>334</v>
      </c>
    </row>
    <row r="8" spans="1:30" hidden="1" x14ac:dyDescent="0.2">
      <c r="A8" s="18">
        <v>56</v>
      </c>
      <c r="B8" s="18" t="s">
        <v>335</v>
      </c>
      <c r="C8" s="18">
        <v>9999</v>
      </c>
      <c r="D8" s="18">
        <v>9999</v>
      </c>
      <c r="E8" s="18" t="s">
        <v>303</v>
      </c>
      <c r="F8" s="20">
        <v>9999</v>
      </c>
      <c r="G8" s="18" t="s">
        <v>323</v>
      </c>
      <c r="H8" s="18" t="s">
        <v>324</v>
      </c>
      <c r="I8" s="18" t="s">
        <v>86</v>
      </c>
      <c r="J8" s="23" t="s">
        <v>325</v>
      </c>
      <c r="K8" s="18">
        <v>80</v>
      </c>
      <c r="L8" s="18" t="s">
        <v>86</v>
      </c>
      <c r="M8" s="18">
        <v>480</v>
      </c>
      <c r="N8" s="18" t="s">
        <v>86</v>
      </c>
      <c r="O8" s="18" t="s">
        <v>86</v>
      </c>
      <c r="P8" s="18" t="s">
        <v>86</v>
      </c>
      <c r="Q8" s="18" t="s">
        <v>326</v>
      </c>
      <c r="R8" s="21" t="s">
        <v>341</v>
      </c>
      <c r="S8" s="20">
        <v>9999</v>
      </c>
      <c r="T8" s="20">
        <v>9999</v>
      </c>
      <c r="U8" s="18" t="s">
        <v>328</v>
      </c>
      <c r="V8" s="18" t="s">
        <v>329</v>
      </c>
      <c r="W8" s="18" t="s">
        <v>347</v>
      </c>
      <c r="X8" s="25">
        <v>42846</v>
      </c>
      <c r="Y8" s="23" t="s">
        <v>348</v>
      </c>
      <c r="Z8" s="23" t="s">
        <v>332</v>
      </c>
      <c r="AA8" s="23" t="s">
        <v>347</v>
      </c>
      <c r="AB8" s="28" t="s">
        <v>344</v>
      </c>
      <c r="AC8" s="18" t="s">
        <v>334</v>
      </c>
    </row>
    <row r="9" spans="1:30" hidden="1" x14ac:dyDescent="0.2">
      <c r="A9" s="18">
        <v>130</v>
      </c>
      <c r="B9" s="18" t="s">
        <v>302</v>
      </c>
      <c r="C9" s="18">
        <v>9999</v>
      </c>
      <c r="D9" s="18">
        <v>9999</v>
      </c>
      <c r="E9" s="23" t="s">
        <v>303</v>
      </c>
      <c r="F9" s="20">
        <v>9999</v>
      </c>
      <c r="G9" s="18" t="s">
        <v>349</v>
      </c>
      <c r="H9" s="23" t="s">
        <v>305</v>
      </c>
      <c r="I9" s="18" t="s">
        <v>86</v>
      </c>
      <c r="J9" s="23" t="s">
        <v>350</v>
      </c>
      <c r="K9" s="18">
        <v>67.5</v>
      </c>
      <c r="L9" s="22" t="s">
        <v>86</v>
      </c>
      <c r="M9" s="22">
        <v>25</v>
      </c>
      <c r="N9" s="22" t="s">
        <v>86</v>
      </c>
      <c r="O9" s="22" t="s">
        <v>86</v>
      </c>
      <c r="P9" s="22" t="s">
        <v>86</v>
      </c>
      <c r="Q9" s="23" t="s">
        <v>351</v>
      </c>
      <c r="R9" s="23"/>
      <c r="S9" s="20" t="s">
        <v>337</v>
      </c>
      <c r="T9" s="20" t="s">
        <v>352</v>
      </c>
      <c r="U9" s="18" t="s">
        <v>328</v>
      </c>
      <c r="V9" s="18" t="s">
        <v>329</v>
      </c>
      <c r="Y9" s="23" t="s">
        <v>353</v>
      </c>
      <c r="Z9" s="23" t="s">
        <v>332</v>
      </c>
      <c r="AA9" s="23" t="s">
        <v>314</v>
      </c>
      <c r="AB9" s="27" t="s">
        <v>354</v>
      </c>
      <c r="AC9" s="23" t="s">
        <v>355</v>
      </c>
    </row>
    <row r="10" spans="1:30" hidden="1" x14ac:dyDescent="0.2">
      <c r="A10" s="18">
        <v>138</v>
      </c>
      <c r="B10" s="18" t="s">
        <v>302</v>
      </c>
      <c r="C10" s="18">
        <v>9999</v>
      </c>
      <c r="D10" s="18">
        <v>9999</v>
      </c>
      <c r="E10" s="23" t="s">
        <v>303</v>
      </c>
      <c r="F10" s="20">
        <v>9999</v>
      </c>
      <c r="G10" s="18" t="s">
        <v>349</v>
      </c>
      <c r="H10" s="23" t="s">
        <v>305</v>
      </c>
      <c r="I10" s="18" t="s">
        <v>86</v>
      </c>
      <c r="J10" s="23" t="s">
        <v>350</v>
      </c>
      <c r="K10" s="24">
        <v>135</v>
      </c>
      <c r="L10" s="22" t="s">
        <v>86</v>
      </c>
      <c r="M10" s="22">
        <v>50</v>
      </c>
      <c r="N10" s="22" t="s">
        <v>86</v>
      </c>
      <c r="O10" s="22" t="s">
        <v>86</v>
      </c>
      <c r="P10" s="22" t="s">
        <v>86</v>
      </c>
      <c r="Q10" s="23" t="s">
        <v>351</v>
      </c>
      <c r="R10" s="23" t="s">
        <v>356</v>
      </c>
      <c r="S10" s="20" t="s">
        <v>337</v>
      </c>
      <c r="T10" s="20" t="s">
        <v>352</v>
      </c>
      <c r="U10" s="18" t="s">
        <v>328</v>
      </c>
      <c r="V10" s="18" t="s">
        <v>329</v>
      </c>
      <c r="Y10" s="23" t="s">
        <v>357</v>
      </c>
      <c r="Z10" s="23" t="s">
        <v>332</v>
      </c>
      <c r="AA10" s="23" t="s">
        <v>314</v>
      </c>
      <c r="AB10" s="27" t="s">
        <v>354</v>
      </c>
      <c r="AC10" s="23" t="s">
        <v>355</v>
      </c>
    </row>
    <row r="11" spans="1:30" hidden="1" x14ac:dyDescent="0.2">
      <c r="A11" s="18">
        <v>144</v>
      </c>
      <c r="B11" s="18" t="s">
        <v>302</v>
      </c>
      <c r="C11" s="18">
        <v>9999</v>
      </c>
      <c r="D11" s="18">
        <v>9999</v>
      </c>
      <c r="E11" s="23" t="s">
        <v>303</v>
      </c>
      <c r="F11" s="20">
        <v>9999</v>
      </c>
      <c r="G11" s="18" t="s">
        <v>349</v>
      </c>
      <c r="H11" s="23" t="s">
        <v>305</v>
      </c>
      <c r="I11" s="18" t="s">
        <v>86</v>
      </c>
      <c r="J11" s="23" t="s">
        <v>350</v>
      </c>
      <c r="K11" s="24">
        <v>270</v>
      </c>
      <c r="L11" s="22" t="s">
        <v>86</v>
      </c>
      <c r="M11" s="22">
        <v>100</v>
      </c>
      <c r="N11" s="22" t="s">
        <v>86</v>
      </c>
      <c r="O11" s="22" t="s">
        <v>86</v>
      </c>
      <c r="P11" s="22" t="s">
        <v>86</v>
      </c>
      <c r="Q11" s="23" t="s">
        <v>351</v>
      </c>
      <c r="R11" s="23" t="s">
        <v>358</v>
      </c>
      <c r="S11" s="20" t="s">
        <v>337</v>
      </c>
      <c r="T11" s="20" t="s">
        <v>352</v>
      </c>
      <c r="U11" s="18" t="s">
        <v>328</v>
      </c>
      <c r="V11" s="18" t="s">
        <v>329</v>
      </c>
      <c r="Y11" s="23" t="s">
        <v>359</v>
      </c>
      <c r="Z11" s="23" t="s">
        <v>332</v>
      </c>
      <c r="AA11" s="23" t="s">
        <v>314</v>
      </c>
      <c r="AB11" s="27" t="s">
        <v>354</v>
      </c>
      <c r="AC11" s="23" t="s">
        <v>355</v>
      </c>
    </row>
    <row r="12" spans="1:30" hidden="1" x14ac:dyDescent="0.2">
      <c r="A12" s="18">
        <v>68</v>
      </c>
      <c r="B12" s="18" t="s">
        <v>149</v>
      </c>
      <c r="C12" s="18">
        <v>9999</v>
      </c>
      <c r="D12" s="18">
        <v>9999</v>
      </c>
      <c r="E12" s="18" t="s">
        <v>360</v>
      </c>
      <c r="F12" s="20">
        <v>9999</v>
      </c>
      <c r="G12" s="19" t="s">
        <v>361</v>
      </c>
      <c r="H12" s="19" t="s">
        <v>362</v>
      </c>
      <c r="I12" s="18" t="s">
        <v>86</v>
      </c>
      <c r="J12" s="23" t="s">
        <v>363</v>
      </c>
      <c r="K12" s="18">
        <v>20</v>
      </c>
      <c r="L12" s="18" t="s">
        <v>86</v>
      </c>
      <c r="M12" s="18">
        <v>160</v>
      </c>
      <c r="N12" s="18" t="s">
        <v>86</v>
      </c>
      <c r="O12" s="18" t="s">
        <v>86</v>
      </c>
      <c r="P12" s="18" t="s">
        <v>86</v>
      </c>
      <c r="Q12" s="18" t="s">
        <v>326</v>
      </c>
      <c r="R12" s="21" t="s">
        <v>364</v>
      </c>
      <c r="S12" s="20">
        <v>9999</v>
      </c>
      <c r="T12" s="20" t="s">
        <v>352</v>
      </c>
      <c r="U12" s="18" t="s">
        <v>365</v>
      </c>
      <c r="V12" s="18" t="s">
        <v>366</v>
      </c>
      <c r="W12" s="18" t="s">
        <v>367</v>
      </c>
      <c r="X12" s="25">
        <v>42286</v>
      </c>
      <c r="Y12" s="23" t="s">
        <v>368</v>
      </c>
      <c r="Z12" s="23" t="s">
        <v>369</v>
      </c>
      <c r="AA12" s="23" t="s">
        <v>370</v>
      </c>
      <c r="AB12" s="27" t="s">
        <v>371</v>
      </c>
      <c r="AC12" s="18" t="s">
        <v>372</v>
      </c>
    </row>
    <row r="13" spans="1:30" hidden="1" x14ac:dyDescent="0.2">
      <c r="A13" s="18">
        <v>69</v>
      </c>
      <c r="B13" s="18" t="s">
        <v>149</v>
      </c>
      <c r="C13" s="18">
        <v>9999</v>
      </c>
      <c r="D13" s="18">
        <v>9999</v>
      </c>
      <c r="E13" s="18" t="s">
        <v>360</v>
      </c>
      <c r="F13" s="20">
        <v>9999</v>
      </c>
      <c r="G13" s="19" t="s">
        <v>361</v>
      </c>
      <c r="H13" s="19" t="s">
        <v>362</v>
      </c>
      <c r="I13" s="18" t="s">
        <v>86</v>
      </c>
      <c r="J13" s="23" t="s">
        <v>363</v>
      </c>
      <c r="K13" s="18">
        <v>40</v>
      </c>
      <c r="L13" s="18" t="s">
        <v>86</v>
      </c>
      <c r="M13" s="18">
        <v>320</v>
      </c>
      <c r="N13" s="18" t="s">
        <v>86</v>
      </c>
      <c r="O13" s="18" t="s">
        <v>86</v>
      </c>
      <c r="P13" s="18" t="s">
        <v>86</v>
      </c>
      <c r="Q13" s="18" t="s">
        <v>326</v>
      </c>
      <c r="R13" s="21" t="s">
        <v>373</v>
      </c>
      <c r="S13" s="20">
        <v>9999</v>
      </c>
      <c r="T13" s="20" t="s">
        <v>352</v>
      </c>
      <c r="U13" s="18" t="s">
        <v>365</v>
      </c>
      <c r="V13" s="18" t="s">
        <v>366</v>
      </c>
      <c r="W13" s="18" t="s">
        <v>374</v>
      </c>
      <c r="X13" s="25">
        <v>42286</v>
      </c>
      <c r="Y13" s="23" t="s">
        <v>375</v>
      </c>
      <c r="Z13" s="23" t="s">
        <v>369</v>
      </c>
      <c r="AA13" s="23" t="s">
        <v>376</v>
      </c>
      <c r="AB13" s="27" t="s">
        <v>371</v>
      </c>
      <c r="AC13" s="18" t="s">
        <v>372</v>
      </c>
    </row>
    <row r="14" spans="1:30" hidden="1" x14ac:dyDescent="0.2">
      <c r="A14" s="18">
        <v>178</v>
      </c>
      <c r="B14" s="18" t="s">
        <v>302</v>
      </c>
      <c r="C14" s="18">
        <v>9999</v>
      </c>
      <c r="D14" s="18">
        <v>9999</v>
      </c>
      <c r="E14" s="23" t="s">
        <v>303</v>
      </c>
      <c r="F14" s="20">
        <v>9999</v>
      </c>
      <c r="G14" s="23" t="s">
        <v>377</v>
      </c>
      <c r="H14" s="18" t="s">
        <v>86</v>
      </c>
      <c r="I14" s="18" t="s">
        <v>86</v>
      </c>
      <c r="J14" s="23" t="s">
        <v>377</v>
      </c>
      <c r="K14" s="24">
        <v>100</v>
      </c>
      <c r="L14" s="22" t="s">
        <v>86</v>
      </c>
      <c r="M14" s="22" t="s">
        <v>86</v>
      </c>
      <c r="N14" s="22" t="s">
        <v>86</v>
      </c>
      <c r="O14" s="22" t="s">
        <v>86</v>
      </c>
      <c r="P14" s="22" t="s">
        <v>86</v>
      </c>
      <c r="Q14" s="23" t="s">
        <v>378</v>
      </c>
      <c r="R14" s="23" t="s">
        <v>379</v>
      </c>
      <c r="S14" s="20">
        <v>9999</v>
      </c>
      <c r="T14" s="20">
        <v>9999</v>
      </c>
      <c r="U14" s="23" t="s">
        <v>380</v>
      </c>
      <c r="V14" s="23" t="s">
        <v>381</v>
      </c>
      <c r="Y14" s="23" t="s">
        <v>382</v>
      </c>
      <c r="Z14" s="23" t="s">
        <v>313</v>
      </c>
      <c r="AA14" s="23" t="s">
        <v>314</v>
      </c>
      <c r="AB14" s="27" t="s">
        <v>383</v>
      </c>
      <c r="AC14" s="23" t="s">
        <v>377</v>
      </c>
    </row>
    <row r="15" spans="1:30" hidden="1" x14ac:dyDescent="0.2">
      <c r="A15" s="18">
        <v>162</v>
      </c>
      <c r="B15" s="18" t="s">
        <v>302</v>
      </c>
      <c r="C15" s="18">
        <v>9999</v>
      </c>
      <c r="D15" s="18">
        <v>9999</v>
      </c>
      <c r="E15" s="23" t="s">
        <v>303</v>
      </c>
      <c r="F15" s="20">
        <v>9999</v>
      </c>
      <c r="G15" s="23" t="s">
        <v>384</v>
      </c>
      <c r="H15" s="18" t="s">
        <v>86</v>
      </c>
      <c r="I15" s="18" t="s">
        <v>86</v>
      </c>
      <c r="J15" s="23" t="s">
        <v>385</v>
      </c>
      <c r="K15" s="24" t="s">
        <v>386</v>
      </c>
      <c r="L15" s="22" t="s">
        <v>86</v>
      </c>
      <c r="M15" s="22" t="s">
        <v>86</v>
      </c>
      <c r="N15" s="22" t="s">
        <v>86</v>
      </c>
      <c r="O15" s="22" t="s">
        <v>86</v>
      </c>
      <c r="P15" s="22" t="s">
        <v>86</v>
      </c>
      <c r="Q15" s="23" t="s">
        <v>378</v>
      </c>
      <c r="R15" s="23" t="s">
        <v>387</v>
      </c>
      <c r="S15" s="20">
        <v>9999</v>
      </c>
      <c r="T15" s="20" t="s">
        <v>352</v>
      </c>
      <c r="U15" s="23" t="s">
        <v>388</v>
      </c>
      <c r="V15" s="23" t="s">
        <v>381</v>
      </c>
      <c r="Y15" s="23" t="s">
        <v>389</v>
      </c>
      <c r="Z15" s="23" t="s">
        <v>313</v>
      </c>
      <c r="AA15" s="23" t="s">
        <v>314</v>
      </c>
      <c r="AB15" s="27" t="s">
        <v>390</v>
      </c>
      <c r="AC15" s="23" t="s">
        <v>384</v>
      </c>
    </row>
    <row r="16" spans="1:30" hidden="1" x14ac:dyDescent="0.2">
      <c r="A16" s="18">
        <v>33</v>
      </c>
      <c r="B16" s="18" t="s">
        <v>335</v>
      </c>
      <c r="C16" s="18">
        <v>9999</v>
      </c>
      <c r="D16" s="18">
        <v>9999</v>
      </c>
      <c r="E16" s="18" t="s">
        <v>303</v>
      </c>
      <c r="F16" s="20">
        <v>9999</v>
      </c>
      <c r="G16" s="18" t="s">
        <v>323</v>
      </c>
      <c r="H16" s="18" t="s">
        <v>324</v>
      </c>
      <c r="I16" s="18" t="s">
        <v>86</v>
      </c>
      <c r="J16" s="23" t="s">
        <v>325</v>
      </c>
      <c r="K16" s="18">
        <v>20</v>
      </c>
      <c r="L16" s="18" t="s">
        <v>86</v>
      </c>
      <c r="M16" s="18">
        <v>120</v>
      </c>
      <c r="N16" s="18" t="s">
        <v>86</v>
      </c>
      <c r="O16" s="18" t="s">
        <v>86</v>
      </c>
      <c r="P16" s="18" t="s">
        <v>86</v>
      </c>
      <c r="Q16" s="18" t="s">
        <v>326</v>
      </c>
      <c r="R16" s="21" t="s">
        <v>391</v>
      </c>
      <c r="S16" s="20" t="s">
        <v>337</v>
      </c>
      <c r="T16" s="20">
        <v>9999</v>
      </c>
      <c r="U16" s="18" t="s">
        <v>392</v>
      </c>
      <c r="V16" s="18" t="s">
        <v>393</v>
      </c>
      <c r="W16" s="18" t="s">
        <v>394</v>
      </c>
      <c r="X16" s="25">
        <v>39955</v>
      </c>
      <c r="Y16" s="23" t="s">
        <v>331</v>
      </c>
      <c r="Z16" s="23" t="s">
        <v>332</v>
      </c>
      <c r="AA16" s="23" t="s">
        <v>394</v>
      </c>
      <c r="AB16" s="27" t="s">
        <v>395</v>
      </c>
      <c r="AC16" s="18" t="s">
        <v>334</v>
      </c>
    </row>
    <row r="17" spans="1:29" hidden="1" x14ac:dyDescent="0.2">
      <c r="A17" s="18">
        <v>34</v>
      </c>
      <c r="B17" s="18" t="s">
        <v>335</v>
      </c>
      <c r="C17" s="18">
        <v>9999</v>
      </c>
      <c r="D17" s="18">
        <v>9999</v>
      </c>
      <c r="E17" s="18" t="s">
        <v>322</v>
      </c>
      <c r="F17" s="20">
        <v>9999</v>
      </c>
      <c r="G17" s="18" t="s">
        <v>323</v>
      </c>
      <c r="H17" s="18" t="s">
        <v>324</v>
      </c>
      <c r="I17" s="18" t="s">
        <v>86</v>
      </c>
      <c r="J17" s="23" t="s">
        <v>325</v>
      </c>
      <c r="K17" s="18">
        <v>20</v>
      </c>
      <c r="L17" s="18" t="s">
        <v>86</v>
      </c>
      <c r="M17" s="18">
        <v>120</v>
      </c>
      <c r="N17" s="18" t="s">
        <v>86</v>
      </c>
      <c r="O17" s="18" t="s">
        <v>86</v>
      </c>
      <c r="P17" s="18" t="s">
        <v>86</v>
      </c>
      <c r="Q17" s="18" t="s">
        <v>326</v>
      </c>
      <c r="R17" s="21" t="s">
        <v>396</v>
      </c>
      <c r="S17" s="20">
        <v>9999</v>
      </c>
      <c r="T17" s="20">
        <v>9999</v>
      </c>
      <c r="U17" s="18" t="s">
        <v>392</v>
      </c>
      <c r="V17" s="18" t="s">
        <v>329</v>
      </c>
      <c r="W17" s="18" t="s">
        <v>397</v>
      </c>
      <c r="X17" s="25">
        <v>42933</v>
      </c>
      <c r="Y17" s="23" t="s">
        <v>339</v>
      </c>
      <c r="Z17" s="23" t="s">
        <v>332</v>
      </c>
      <c r="AA17" s="23" t="s">
        <v>397</v>
      </c>
      <c r="AB17" s="27" t="s">
        <v>398</v>
      </c>
      <c r="AC17" s="18" t="s">
        <v>334</v>
      </c>
    </row>
    <row r="18" spans="1:29" hidden="1" x14ac:dyDescent="0.2">
      <c r="A18" s="18">
        <v>45</v>
      </c>
      <c r="B18" s="18" t="s">
        <v>335</v>
      </c>
      <c r="C18" s="18">
        <v>9999</v>
      </c>
      <c r="D18" s="18">
        <v>9999</v>
      </c>
      <c r="E18" s="18" t="s">
        <v>303</v>
      </c>
      <c r="F18" s="20">
        <v>9999</v>
      </c>
      <c r="G18" s="18" t="s">
        <v>323</v>
      </c>
      <c r="H18" s="18" t="s">
        <v>324</v>
      </c>
      <c r="I18" s="18" t="s">
        <v>86</v>
      </c>
      <c r="J18" s="23" t="s">
        <v>325</v>
      </c>
      <c r="K18" s="18">
        <v>40</v>
      </c>
      <c r="L18" s="18" t="s">
        <v>86</v>
      </c>
      <c r="M18" s="18">
        <v>240</v>
      </c>
      <c r="N18" s="18" t="s">
        <v>86</v>
      </c>
      <c r="O18" s="18" t="s">
        <v>86</v>
      </c>
      <c r="P18" s="18" t="s">
        <v>86</v>
      </c>
      <c r="Q18" s="18" t="s">
        <v>326</v>
      </c>
      <c r="R18" s="21" t="s">
        <v>399</v>
      </c>
      <c r="S18" s="20">
        <v>9999</v>
      </c>
      <c r="T18" s="20">
        <v>9999</v>
      </c>
      <c r="U18" s="18" t="s">
        <v>392</v>
      </c>
      <c r="V18" s="18" t="s">
        <v>329</v>
      </c>
      <c r="W18" s="18" t="s">
        <v>400</v>
      </c>
      <c r="X18" s="25">
        <v>42933</v>
      </c>
      <c r="Y18" s="23" t="s">
        <v>343</v>
      </c>
      <c r="Z18" s="23" t="s">
        <v>332</v>
      </c>
      <c r="AA18" s="23" t="s">
        <v>400</v>
      </c>
      <c r="AB18" s="27" t="s">
        <v>401</v>
      </c>
      <c r="AC18" s="18" t="s">
        <v>334</v>
      </c>
    </row>
    <row r="19" spans="1:29" hidden="1" x14ac:dyDescent="0.2">
      <c r="A19" s="18">
        <v>46</v>
      </c>
      <c r="B19" s="18" t="s">
        <v>335</v>
      </c>
      <c r="C19" s="18">
        <v>9999</v>
      </c>
      <c r="D19" s="18">
        <v>9999</v>
      </c>
      <c r="E19" s="18" t="s">
        <v>303</v>
      </c>
      <c r="F19" s="20">
        <v>9999</v>
      </c>
      <c r="G19" s="18" t="s">
        <v>323</v>
      </c>
      <c r="H19" s="18" t="s">
        <v>324</v>
      </c>
      <c r="I19" s="18" t="s">
        <v>86</v>
      </c>
      <c r="J19" s="23" t="s">
        <v>325</v>
      </c>
      <c r="K19" s="18">
        <v>60</v>
      </c>
      <c r="L19" s="18" t="s">
        <v>86</v>
      </c>
      <c r="M19" s="18">
        <v>360</v>
      </c>
      <c r="N19" s="18" t="s">
        <v>86</v>
      </c>
      <c r="O19" s="18" t="s">
        <v>86</v>
      </c>
      <c r="P19" s="18" t="s">
        <v>86</v>
      </c>
      <c r="Q19" s="18" t="s">
        <v>326</v>
      </c>
      <c r="R19" s="21" t="s">
        <v>399</v>
      </c>
      <c r="S19" s="20">
        <v>9999</v>
      </c>
      <c r="T19" s="20">
        <v>9999</v>
      </c>
      <c r="U19" s="18" t="s">
        <v>392</v>
      </c>
      <c r="V19" s="18" t="s">
        <v>329</v>
      </c>
      <c r="W19" s="18" t="s">
        <v>402</v>
      </c>
      <c r="X19" s="25">
        <v>42933</v>
      </c>
      <c r="Y19" s="23" t="s">
        <v>346</v>
      </c>
      <c r="Z19" s="23" t="s">
        <v>332</v>
      </c>
      <c r="AA19" s="23" t="s">
        <v>402</v>
      </c>
      <c r="AB19" s="27" t="s">
        <v>401</v>
      </c>
      <c r="AC19" s="18" t="s">
        <v>334</v>
      </c>
    </row>
    <row r="20" spans="1:29" hidden="1" x14ac:dyDescent="0.2">
      <c r="A20" s="18">
        <v>47</v>
      </c>
      <c r="B20" s="18" t="s">
        <v>335</v>
      </c>
      <c r="C20" s="18">
        <v>9999</v>
      </c>
      <c r="D20" s="18">
        <v>9999</v>
      </c>
      <c r="E20" s="18" t="s">
        <v>303</v>
      </c>
      <c r="F20" s="20">
        <v>9999</v>
      </c>
      <c r="G20" s="18" t="s">
        <v>323</v>
      </c>
      <c r="H20" s="18" t="s">
        <v>324</v>
      </c>
      <c r="I20" s="18" t="s">
        <v>86</v>
      </c>
      <c r="J20" s="23" t="s">
        <v>325</v>
      </c>
      <c r="K20" s="18">
        <v>80</v>
      </c>
      <c r="L20" s="18" t="s">
        <v>86</v>
      </c>
      <c r="M20" s="18">
        <v>480</v>
      </c>
      <c r="N20" s="18" t="s">
        <v>86</v>
      </c>
      <c r="O20" s="18" t="s">
        <v>86</v>
      </c>
      <c r="P20" s="18" t="s">
        <v>86</v>
      </c>
      <c r="Q20" s="18" t="s">
        <v>326</v>
      </c>
      <c r="R20" s="21" t="s">
        <v>399</v>
      </c>
      <c r="S20" s="20">
        <v>9999</v>
      </c>
      <c r="T20" s="20">
        <v>9999</v>
      </c>
      <c r="U20" s="18" t="s">
        <v>392</v>
      </c>
      <c r="V20" s="18" t="s">
        <v>329</v>
      </c>
      <c r="W20" s="18" t="s">
        <v>403</v>
      </c>
      <c r="X20" s="25">
        <v>42933</v>
      </c>
      <c r="Y20" s="23" t="s">
        <v>348</v>
      </c>
      <c r="Z20" s="23" t="s">
        <v>332</v>
      </c>
      <c r="AA20" s="23" t="s">
        <v>403</v>
      </c>
      <c r="AB20" s="27" t="s">
        <v>401</v>
      </c>
      <c r="AC20" s="18" t="s">
        <v>334</v>
      </c>
    </row>
    <row r="21" spans="1:29" hidden="1" x14ac:dyDescent="0.2">
      <c r="A21" s="18">
        <v>14</v>
      </c>
      <c r="B21" s="18" t="s">
        <v>335</v>
      </c>
      <c r="C21" s="18">
        <v>9999</v>
      </c>
      <c r="D21" s="18">
        <v>9999</v>
      </c>
      <c r="E21" s="18" t="s">
        <v>303</v>
      </c>
      <c r="F21" s="20">
        <v>9999</v>
      </c>
      <c r="G21" s="19" t="s">
        <v>404</v>
      </c>
      <c r="H21" s="23" t="s">
        <v>305</v>
      </c>
      <c r="I21" s="18" t="s">
        <v>86</v>
      </c>
      <c r="J21" s="23" t="s">
        <v>350</v>
      </c>
      <c r="K21" s="18">
        <v>67.5</v>
      </c>
      <c r="L21" s="18" t="s">
        <v>86</v>
      </c>
      <c r="M21" s="18">
        <v>25</v>
      </c>
      <c r="N21" s="18" t="s">
        <v>86</v>
      </c>
      <c r="O21" s="18" t="s">
        <v>86</v>
      </c>
      <c r="P21" s="18" t="s">
        <v>86</v>
      </c>
      <c r="Q21" s="18" t="s">
        <v>326</v>
      </c>
      <c r="R21" s="21" t="s">
        <v>405</v>
      </c>
      <c r="S21" s="20" t="s">
        <v>337</v>
      </c>
      <c r="T21" s="20" t="s">
        <v>352</v>
      </c>
      <c r="U21" s="18" t="s">
        <v>392</v>
      </c>
      <c r="V21" s="18" t="s">
        <v>329</v>
      </c>
      <c r="W21" s="18" t="s">
        <v>406</v>
      </c>
      <c r="X21" s="25">
        <v>41737</v>
      </c>
      <c r="Y21" s="23" t="s">
        <v>353</v>
      </c>
      <c r="Z21" s="23" t="s">
        <v>332</v>
      </c>
      <c r="AA21" s="23" t="s">
        <v>406</v>
      </c>
      <c r="AB21" s="27" t="s">
        <v>407</v>
      </c>
      <c r="AC21" s="18" t="s">
        <v>408</v>
      </c>
    </row>
    <row r="22" spans="1:29" hidden="1" x14ac:dyDescent="0.2">
      <c r="A22" s="18">
        <v>13</v>
      </c>
      <c r="B22" s="18" t="s">
        <v>335</v>
      </c>
      <c r="C22" s="18">
        <v>9999</v>
      </c>
      <c r="D22" s="18">
        <v>9999</v>
      </c>
      <c r="E22" s="18" t="s">
        <v>303</v>
      </c>
      <c r="F22" s="20">
        <v>9999</v>
      </c>
      <c r="G22" s="19" t="s">
        <v>404</v>
      </c>
      <c r="H22" s="23" t="s">
        <v>305</v>
      </c>
      <c r="I22" s="18" t="s">
        <v>86</v>
      </c>
      <c r="J22" s="23" t="s">
        <v>350</v>
      </c>
      <c r="K22" s="18">
        <v>135</v>
      </c>
      <c r="L22" s="18" t="s">
        <v>86</v>
      </c>
      <c r="M22" s="18">
        <v>50</v>
      </c>
      <c r="N22" s="18" t="s">
        <v>86</v>
      </c>
      <c r="O22" s="18" t="s">
        <v>86</v>
      </c>
      <c r="P22" s="18" t="s">
        <v>86</v>
      </c>
      <c r="Q22" s="18" t="s">
        <v>326</v>
      </c>
      <c r="R22" s="21" t="s">
        <v>405</v>
      </c>
      <c r="S22" s="20" t="s">
        <v>337</v>
      </c>
      <c r="T22" s="20" t="s">
        <v>352</v>
      </c>
      <c r="U22" s="18" t="s">
        <v>392</v>
      </c>
      <c r="V22" s="18" t="s">
        <v>329</v>
      </c>
      <c r="W22" s="18" t="s">
        <v>409</v>
      </c>
      <c r="X22" s="25">
        <v>41737</v>
      </c>
      <c r="Y22" s="23" t="s">
        <v>357</v>
      </c>
      <c r="Z22" s="23" t="s">
        <v>332</v>
      </c>
      <c r="AA22" s="23" t="s">
        <v>409</v>
      </c>
      <c r="AB22" s="27" t="s">
        <v>407</v>
      </c>
      <c r="AC22" s="18" t="s">
        <v>408</v>
      </c>
    </row>
    <row r="23" spans="1:29" hidden="1" x14ac:dyDescent="0.2">
      <c r="A23" s="18">
        <v>122</v>
      </c>
      <c r="B23" s="18" t="s">
        <v>302</v>
      </c>
      <c r="C23" s="18">
        <v>9999</v>
      </c>
      <c r="D23" s="18">
        <v>9999</v>
      </c>
      <c r="E23" s="23" t="s">
        <v>303</v>
      </c>
      <c r="F23" s="20">
        <v>9999</v>
      </c>
      <c r="G23" s="19" t="s">
        <v>404</v>
      </c>
      <c r="H23" s="23" t="s">
        <v>305</v>
      </c>
      <c r="I23" s="18" t="s">
        <v>86</v>
      </c>
      <c r="J23" s="23" t="s">
        <v>350</v>
      </c>
      <c r="K23" s="22">
        <v>153</v>
      </c>
      <c r="L23" s="22" t="s">
        <v>86</v>
      </c>
      <c r="M23" s="22">
        <v>50</v>
      </c>
      <c r="N23" s="22" t="s">
        <v>86</v>
      </c>
      <c r="O23" s="22" t="s">
        <v>86</v>
      </c>
      <c r="P23" s="22" t="s">
        <v>86</v>
      </c>
      <c r="Q23" s="23" t="s">
        <v>410</v>
      </c>
      <c r="R23" s="23" t="s">
        <v>411</v>
      </c>
      <c r="S23" s="20">
        <v>9999</v>
      </c>
      <c r="T23" s="20" t="s">
        <v>352</v>
      </c>
      <c r="U23" s="18" t="s">
        <v>392</v>
      </c>
      <c r="V23" s="18" t="s">
        <v>329</v>
      </c>
      <c r="Y23" s="23" t="s">
        <v>412</v>
      </c>
      <c r="Z23" s="23" t="s">
        <v>332</v>
      </c>
      <c r="AA23" s="23" t="s">
        <v>314</v>
      </c>
      <c r="AB23" s="27" t="s">
        <v>413</v>
      </c>
      <c r="AC23" s="23" t="s">
        <v>414</v>
      </c>
    </row>
    <row r="24" spans="1:29" hidden="1" x14ac:dyDescent="0.2">
      <c r="A24" s="18">
        <v>16</v>
      </c>
      <c r="B24" s="18" t="s">
        <v>335</v>
      </c>
      <c r="C24" s="18">
        <v>9999</v>
      </c>
      <c r="D24" s="18">
        <v>9999</v>
      </c>
      <c r="E24" s="18" t="s">
        <v>303</v>
      </c>
      <c r="F24" s="20">
        <v>9999</v>
      </c>
      <c r="G24" s="19" t="s">
        <v>404</v>
      </c>
      <c r="H24" s="23" t="s">
        <v>305</v>
      </c>
      <c r="I24" s="18" t="s">
        <v>86</v>
      </c>
      <c r="J24" s="23" t="s">
        <v>350</v>
      </c>
      <c r="K24" s="18">
        <v>270</v>
      </c>
      <c r="L24" s="18" t="s">
        <v>86</v>
      </c>
      <c r="M24" s="18">
        <v>100</v>
      </c>
      <c r="N24" s="18" t="s">
        <v>86</v>
      </c>
      <c r="O24" s="18" t="s">
        <v>86</v>
      </c>
      <c r="P24" s="18" t="s">
        <v>86</v>
      </c>
      <c r="Q24" s="18" t="s">
        <v>326</v>
      </c>
      <c r="R24" s="21" t="s">
        <v>415</v>
      </c>
      <c r="S24" s="20" t="s">
        <v>337</v>
      </c>
      <c r="T24" s="20" t="s">
        <v>352</v>
      </c>
      <c r="U24" s="18" t="s">
        <v>392</v>
      </c>
      <c r="V24" s="18" t="s">
        <v>329</v>
      </c>
      <c r="W24" s="18" t="s">
        <v>416</v>
      </c>
      <c r="X24" s="25">
        <v>41737</v>
      </c>
      <c r="Y24" s="23" t="s">
        <v>359</v>
      </c>
      <c r="Z24" s="23" t="s">
        <v>332</v>
      </c>
      <c r="AA24" s="23" t="s">
        <v>416</v>
      </c>
      <c r="AB24" s="27" t="s">
        <v>407</v>
      </c>
      <c r="AC24" s="18" t="s">
        <v>408</v>
      </c>
    </row>
    <row r="25" spans="1:29" hidden="1" x14ac:dyDescent="0.2">
      <c r="A25" s="18">
        <v>8</v>
      </c>
      <c r="B25" s="18" t="s">
        <v>335</v>
      </c>
      <c r="C25" s="18">
        <v>9999</v>
      </c>
      <c r="D25" s="18">
        <v>9999</v>
      </c>
      <c r="E25" s="18" t="s">
        <v>417</v>
      </c>
      <c r="F25" s="20">
        <v>9999</v>
      </c>
      <c r="G25" s="18" t="s">
        <v>418</v>
      </c>
      <c r="H25" s="18" t="s">
        <v>86</v>
      </c>
      <c r="I25" s="18" t="s">
        <v>86</v>
      </c>
      <c r="J25" s="18" t="s">
        <v>305</v>
      </c>
      <c r="K25" s="18">
        <v>100</v>
      </c>
      <c r="L25" s="18" t="s">
        <v>86</v>
      </c>
      <c r="M25" s="18" t="s">
        <v>86</v>
      </c>
      <c r="N25" s="18" t="s">
        <v>86</v>
      </c>
      <c r="O25" s="18" t="s">
        <v>86</v>
      </c>
      <c r="P25" s="18" t="s">
        <v>86</v>
      </c>
      <c r="Q25" s="18" t="s">
        <v>326</v>
      </c>
      <c r="R25" s="21" t="s">
        <v>419</v>
      </c>
      <c r="S25" s="20">
        <v>9999</v>
      </c>
      <c r="T25" s="20">
        <v>9999</v>
      </c>
      <c r="U25" s="18" t="s">
        <v>392</v>
      </c>
      <c r="V25" s="18" t="s">
        <v>329</v>
      </c>
      <c r="W25" s="18" t="s">
        <v>420</v>
      </c>
      <c r="X25" s="25">
        <v>43153</v>
      </c>
      <c r="Y25" s="23" t="s">
        <v>421</v>
      </c>
      <c r="Z25" s="23" t="s">
        <v>332</v>
      </c>
      <c r="AA25" s="23" t="s">
        <v>420</v>
      </c>
      <c r="AB25" s="27" t="s">
        <v>422</v>
      </c>
      <c r="AC25" s="18" t="s">
        <v>305</v>
      </c>
    </row>
    <row r="26" spans="1:29" hidden="1" x14ac:dyDescent="0.2">
      <c r="A26" s="18">
        <v>61</v>
      </c>
      <c r="B26" s="18" t="s">
        <v>149</v>
      </c>
      <c r="C26" s="18">
        <v>9999</v>
      </c>
      <c r="D26" s="18">
        <v>9999</v>
      </c>
      <c r="E26" s="18" t="s">
        <v>303</v>
      </c>
      <c r="F26" s="20">
        <v>9999</v>
      </c>
      <c r="G26" s="18" t="s">
        <v>418</v>
      </c>
      <c r="H26" s="19" t="s">
        <v>423</v>
      </c>
      <c r="I26" s="18" t="s">
        <v>86</v>
      </c>
      <c r="J26" s="23" t="s">
        <v>307</v>
      </c>
      <c r="K26" s="18">
        <v>25</v>
      </c>
      <c r="L26" s="18" t="s">
        <v>86</v>
      </c>
      <c r="M26" s="18">
        <v>50</v>
      </c>
      <c r="N26" s="18" t="s">
        <v>86</v>
      </c>
      <c r="O26" s="18" t="s">
        <v>86</v>
      </c>
      <c r="P26" s="18" t="s">
        <v>86</v>
      </c>
      <c r="Q26" s="18" t="s">
        <v>326</v>
      </c>
      <c r="R26" s="21" t="s">
        <v>424</v>
      </c>
      <c r="S26" s="20" t="s">
        <v>337</v>
      </c>
      <c r="T26" s="20" t="s">
        <v>352</v>
      </c>
      <c r="U26" s="18" t="s">
        <v>425</v>
      </c>
      <c r="V26" s="18" t="s">
        <v>426</v>
      </c>
      <c r="W26" s="18" t="s">
        <v>427</v>
      </c>
      <c r="X26" s="25">
        <v>41164</v>
      </c>
      <c r="Y26" s="26" t="s">
        <v>428</v>
      </c>
      <c r="Z26" s="23" t="s">
        <v>332</v>
      </c>
      <c r="AA26" s="23" t="s">
        <v>314</v>
      </c>
      <c r="AB26" s="27" t="s">
        <v>429</v>
      </c>
      <c r="AC26" s="18" t="s">
        <v>430</v>
      </c>
    </row>
    <row r="27" spans="1:29" hidden="1" x14ac:dyDescent="0.2">
      <c r="A27" s="18">
        <v>60</v>
      </c>
      <c r="B27" s="18" t="s">
        <v>149</v>
      </c>
      <c r="C27" s="18">
        <v>9999</v>
      </c>
      <c r="D27" s="18">
        <v>9999</v>
      </c>
      <c r="E27" s="18" t="s">
        <v>303</v>
      </c>
      <c r="F27" s="20">
        <v>9999</v>
      </c>
      <c r="G27" s="18" t="s">
        <v>418</v>
      </c>
      <c r="H27" s="19" t="s">
        <v>423</v>
      </c>
      <c r="I27" s="18" t="s">
        <v>86</v>
      </c>
      <c r="J27" s="23" t="s">
        <v>307</v>
      </c>
      <c r="K27" s="18">
        <v>100</v>
      </c>
      <c r="L27" s="18" t="s">
        <v>86</v>
      </c>
      <c r="M27" s="18">
        <v>200</v>
      </c>
      <c r="N27" s="18" t="s">
        <v>86</v>
      </c>
      <c r="O27" s="18" t="s">
        <v>86</v>
      </c>
      <c r="P27" s="18" t="s">
        <v>86</v>
      </c>
      <c r="Q27" s="18" t="s">
        <v>326</v>
      </c>
      <c r="R27" s="21" t="s">
        <v>424</v>
      </c>
      <c r="S27" s="20" t="s">
        <v>337</v>
      </c>
      <c r="T27" s="20" t="s">
        <v>352</v>
      </c>
      <c r="U27" s="18" t="s">
        <v>425</v>
      </c>
      <c r="V27" s="18" t="s">
        <v>426</v>
      </c>
      <c r="W27" s="18" t="s">
        <v>431</v>
      </c>
      <c r="X27" s="25">
        <v>41164</v>
      </c>
      <c r="Y27" s="26" t="s">
        <v>432</v>
      </c>
      <c r="Z27" s="23" t="s">
        <v>332</v>
      </c>
      <c r="AA27" s="23" t="s">
        <v>314</v>
      </c>
      <c r="AB27" s="27" t="s">
        <v>429</v>
      </c>
      <c r="AC27" s="18" t="s">
        <v>430</v>
      </c>
    </row>
    <row r="28" spans="1:29" hidden="1" x14ac:dyDescent="0.2">
      <c r="A28" s="18">
        <v>51</v>
      </c>
      <c r="B28" s="18" t="s">
        <v>149</v>
      </c>
      <c r="C28" s="18">
        <v>9999</v>
      </c>
      <c r="D28" s="18">
        <v>9999</v>
      </c>
      <c r="E28" s="18" t="s">
        <v>322</v>
      </c>
      <c r="F28" s="20">
        <v>9999</v>
      </c>
      <c r="G28" s="18" t="s">
        <v>323</v>
      </c>
      <c r="H28" s="18" t="s">
        <v>324</v>
      </c>
      <c r="I28" s="18" t="s">
        <v>86</v>
      </c>
      <c r="J28" s="23" t="s">
        <v>325</v>
      </c>
      <c r="K28" s="18">
        <v>20</v>
      </c>
      <c r="L28" s="18" t="s">
        <v>86</v>
      </c>
      <c r="M28" s="18">
        <v>120</v>
      </c>
      <c r="N28" s="18" t="s">
        <v>86</v>
      </c>
      <c r="O28" s="18" t="s">
        <v>86</v>
      </c>
      <c r="P28" s="18" t="s">
        <v>86</v>
      </c>
      <c r="Q28" s="18" t="s">
        <v>326</v>
      </c>
      <c r="R28" s="21" t="s">
        <v>433</v>
      </c>
      <c r="S28" s="20">
        <v>9999</v>
      </c>
      <c r="T28" s="20">
        <v>9999</v>
      </c>
      <c r="U28" s="18" t="s">
        <v>434</v>
      </c>
      <c r="V28" s="18" t="s">
        <v>435</v>
      </c>
      <c r="W28" s="18" t="s">
        <v>436</v>
      </c>
      <c r="X28" s="25">
        <v>44299</v>
      </c>
      <c r="AC28" s="18" t="s">
        <v>334</v>
      </c>
    </row>
    <row r="29" spans="1:29" hidden="1" x14ac:dyDescent="0.2">
      <c r="A29" s="18">
        <v>57</v>
      </c>
      <c r="B29" s="18" t="s">
        <v>149</v>
      </c>
      <c r="C29" s="18">
        <v>9999</v>
      </c>
      <c r="D29" s="18">
        <v>9999</v>
      </c>
      <c r="E29" s="18" t="s">
        <v>303</v>
      </c>
      <c r="F29" s="20">
        <v>9999</v>
      </c>
      <c r="G29" s="18" t="s">
        <v>323</v>
      </c>
      <c r="H29" s="18" t="s">
        <v>324</v>
      </c>
      <c r="I29" s="18" t="s">
        <v>86</v>
      </c>
      <c r="J29" s="23" t="s">
        <v>325</v>
      </c>
      <c r="K29" s="18">
        <v>20</v>
      </c>
      <c r="L29" s="18" t="s">
        <v>86</v>
      </c>
      <c r="M29" s="18">
        <v>120</v>
      </c>
      <c r="N29" s="18" t="s">
        <v>86</v>
      </c>
      <c r="O29" s="18" t="s">
        <v>86</v>
      </c>
      <c r="P29" s="18" t="s">
        <v>86</v>
      </c>
      <c r="Q29" s="18" t="s">
        <v>326</v>
      </c>
      <c r="R29" s="21" t="s">
        <v>437</v>
      </c>
      <c r="S29" s="20">
        <v>9999</v>
      </c>
      <c r="T29" s="20">
        <v>9999</v>
      </c>
      <c r="U29" s="18" t="s">
        <v>434</v>
      </c>
      <c r="V29" s="18" t="s">
        <v>435</v>
      </c>
      <c r="W29" s="18" t="s">
        <v>438</v>
      </c>
      <c r="X29" s="25">
        <v>44587</v>
      </c>
      <c r="AC29" s="18" t="s">
        <v>334</v>
      </c>
    </row>
    <row r="30" spans="1:29" hidden="1" x14ac:dyDescent="0.2">
      <c r="A30" s="18">
        <v>52</v>
      </c>
      <c r="B30" s="18" t="s">
        <v>149</v>
      </c>
      <c r="C30" s="18">
        <v>9999</v>
      </c>
      <c r="D30" s="18">
        <v>9999</v>
      </c>
      <c r="E30" s="18" t="s">
        <v>322</v>
      </c>
      <c r="F30" s="20">
        <v>9999</v>
      </c>
      <c r="G30" s="18" t="s">
        <v>323</v>
      </c>
      <c r="H30" s="18" t="s">
        <v>324</v>
      </c>
      <c r="I30" s="18" t="s">
        <v>86</v>
      </c>
      <c r="J30" s="23" t="s">
        <v>325</v>
      </c>
      <c r="K30" s="18">
        <v>40</v>
      </c>
      <c r="L30" s="18" t="s">
        <v>86</v>
      </c>
      <c r="M30" s="18">
        <v>240</v>
      </c>
      <c r="N30" s="18" t="s">
        <v>86</v>
      </c>
      <c r="O30" s="18" t="s">
        <v>86</v>
      </c>
      <c r="P30" s="18" t="s">
        <v>86</v>
      </c>
      <c r="Q30" s="18" t="s">
        <v>326</v>
      </c>
      <c r="R30" s="21" t="s">
        <v>433</v>
      </c>
      <c r="S30" s="20">
        <v>9999</v>
      </c>
      <c r="T30" s="20">
        <v>9999</v>
      </c>
      <c r="U30" s="18" t="s">
        <v>434</v>
      </c>
      <c r="V30" s="18" t="s">
        <v>435</v>
      </c>
      <c r="W30" s="18" t="s">
        <v>439</v>
      </c>
      <c r="X30" s="25">
        <v>44299</v>
      </c>
      <c r="AC30" s="18" t="s">
        <v>334</v>
      </c>
    </row>
    <row r="31" spans="1:29" hidden="1" x14ac:dyDescent="0.2">
      <c r="A31" s="18">
        <v>50</v>
      </c>
      <c r="B31" s="18" t="s">
        <v>149</v>
      </c>
      <c r="C31" s="18">
        <v>9999</v>
      </c>
      <c r="D31" s="18">
        <v>9999</v>
      </c>
      <c r="E31" s="18" t="s">
        <v>322</v>
      </c>
      <c r="F31" s="20">
        <v>9999</v>
      </c>
      <c r="G31" s="18" t="s">
        <v>323</v>
      </c>
      <c r="H31" s="18" t="s">
        <v>324</v>
      </c>
      <c r="I31" s="18" t="s">
        <v>86</v>
      </c>
      <c r="J31" s="23" t="s">
        <v>325</v>
      </c>
      <c r="K31" s="18">
        <v>60</v>
      </c>
      <c r="L31" s="18" t="s">
        <v>86</v>
      </c>
      <c r="M31" s="18">
        <v>360</v>
      </c>
      <c r="N31" s="18" t="s">
        <v>86</v>
      </c>
      <c r="O31" s="18" t="s">
        <v>86</v>
      </c>
      <c r="P31" s="18" t="s">
        <v>86</v>
      </c>
      <c r="Q31" s="18" t="s">
        <v>326</v>
      </c>
      <c r="R31" s="21" t="s">
        <v>440</v>
      </c>
      <c r="S31" s="20">
        <v>9999</v>
      </c>
      <c r="T31" s="20">
        <v>9999</v>
      </c>
      <c r="U31" s="18" t="s">
        <v>434</v>
      </c>
      <c r="V31" s="18" t="s">
        <v>435</v>
      </c>
      <c r="W31" s="18" t="s">
        <v>441</v>
      </c>
      <c r="X31" s="25">
        <v>44299</v>
      </c>
      <c r="AC31" s="18" t="s">
        <v>334</v>
      </c>
    </row>
    <row r="32" spans="1:29" hidden="1" x14ac:dyDescent="0.2">
      <c r="A32" s="18">
        <v>58</v>
      </c>
      <c r="B32" s="18" t="s">
        <v>149</v>
      </c>
      <c r="C32" s="18">
        <v>9999</v>
      </c>
      <c r="D32" s="18">
        <v>9999</v>
      </c>
      <c r="E32" s="18" t="s">
        <v>303</v>
      </c>
      <c r="F32" s="20">
        <v>9999</v>
      </c>
      <c r="G32" s="18" t="s">
        <v>323</v>
      </c>
      <c r="H32" s="18" t="s">
        <v>324</v>
      </c>
      <c r="I32" s="18" t="s">
        <v>86</v>
      </c>
      <c r="J32" s="23" t="s">
        <v>325</v>
      </c>
      <c r="K32" s="18">
        <v>80</v>
      </c>
      <c r="L32" s="18" t="s">
        <v>86</v>
      </c>
      <c r="M32" s="18">
        <v>480</v>
      </c>
      <c r="N32" s="18" t="s">
        <v>86</v>
      </c>
      <c r="O32" s="18" t="s">
        <v>86</v>
      </c>
      <c r="P32" s="18" t="s">
        <v>86</v>
      </c>
      <c r="Q32" s="18" t="s">
        <v>326</v>
      </c>
      <c r="R32" s="21" t="s">
        <v>442</v>
      </c>
      <c r="S32" s="20">
        <v>9999</v>
      </c>
      <c r="T32" s="20">
        <v>9999</v>
      </c>
      <c r="U32" s="18" t="s">
        <v>434</v>
      </c>
      <c r="V32" s="18" t="s">
        <v>435</v>
      </c>
      <c r="W32" s="18" t="s">
        <v>443</v>
      </c>
      <c r="X32" s="25">
        <v>44587</v>
      </c>
      <c r="AC32" s="18" t="s">
        <v>334</v>
      </c>
    </row>
    <row r="33" spans="1:29" hidden="1" x14ac:dyDescent="0.2">
      <c r="A33" s="18">
        <v>9</v>
      </c>
      <c r="B33" s="18" t="s">
        <v>149</v>
      </c>
      <c r="C33" s="18">
        <v>9999</v>
      </c>
      <c r="D33" s="18">
        <v>9999</v>
      </c>
      <c r="E33" s="18" t="s">
        <v>360</v>
      </c>
      <c r="F33" s="20">
        <v>9999</v>
      </c>
      <c r="G33" s="19" t="s">
        <v>404</v>
      </c>
      <c r="H33" s="19" t="s">
        <v>418</v>
      </c>
      <c r="I33" s="18" t="s">
        <v>86</v>
      </c>
      <c r="J33" s="18" t="s">
        <v>349</v>
      </c>
      <c r="K33" s="18">
        <v>150</v>
      </c>
      <c r="L33" s="18" t="s">
        <v>86</v>
      </c>
      <c r="N33" s="18" t="s">
        <v>86</v>
      </c>
      <c r="O33" s="18" t="s">
        <v>86</v>
      </c>
      <c r="P33" s="18" t="s">
        <v>86</v>
      </c>
      <c r="Q33" s="18" t="s">
        <v>326</v>
      </c>
      <c r="R33" s="21" t="s">
        <v>444</v>
      </c>
      <c r="S33" s="20">
        <v>9999</v>
      </c>
      <c r="T33" s="20">
        <v>9999</v>
      </c>
      <c r="U33" s="18" t="s">
        <v>434</v>
      </c>
      <c r="V33" s="18" t="s">
        <v>435</v>
      </c>
      <c r="W33" s="18" t="s">
        <v>445</v>
      </c>
      <c r="X33" s="25">
        <v>39324</v>
      </c>
      <c r="AC33" s="18" t="s">
        <v>446</v>
      </c>
    </row>
    <row r="34" spans="1:29" hidden="1" x14ac:dyDescent="0.2">
      <c r="A34" s="18">
        <v>21</v>
      </c>
      <c r="B34" s="18" t="s">
        <v>335</v>
      </c>
      <c r="C34" s="18">
        <v>9999</v>
      </c>
      <c r="D34" s="18">
        <v>9999</v>
      </c>
      <c r="E34" s="18" t="s">
        <v>303</v>
      </c>
      <c r="F34" s="20">
        <v>9999</v>
      </c>
      <c r="G34" s="19" t="s">
        <v>404</v>
      </c>
      <c r="H34" s="23" t="s">
        <v>305</v>
      </c>
      <c r="I34" s="18" t="s">
        <v>86</v>
      </c>
      <c r="J34" s="23" t="s">
        <v>350</v>
      </c>
      <c r="K34" s="18">
        <v>67.5</v>
      </c>
      <c r="L34" s="18" t="s">
        <v>86</v>
      </c>
      <c r="M34" s="18">
        <v>25</v>
      </c>
      <c r="N34" s="18" t="s">
        <v>86</v>
      </c>
      <c r="O34" s="18" t="s">
        <v>86</v>
      </c>
      <c r="P34" s="18" t="s">
        <v>86</v>
      </c>
      <c r="Q34" s="18" t="s">
        <v>326</v>
      </c>
      <c r="R34" s="21" t="s">
        <v>447</v>
      </c>
      <c r="S34" s="20" t="s">
        <v>337</v>
      </c>
      <c r="T34" s="20" t="s">
        <v>352</v>
      </c>
      <c r="U34" s="18" t="s">
        <v>434</v>
      </c>
      <c r="V34" s="18" t="s">
        <v>435</v>
      </c>
      <c r="W34" s="18" t="s">
        <v>448</v>
      </c>
      <c r="X34" s="25">
        <v>41229</v>
      </c>
      <c r="Y34" s="23" t="s">
        <v>353</v>
      </c>
      <c r="Z34" s="23" t="s">
        <v>332</v>
      </c>
      <c r="AA34" s="23" t="s">
        <v>448</v>
      </c>
      <c r="AB34" s="27" t="s">
        <v>449</v>
      </c>
      <c r="AC34" s="18" t="s">
        <v>408</v>
      </c>
    </row>
    <row r="35" spans="1:29" hidden="1" x14ac:dyDescent="0.2">
      <c r="A35" s="18">
        <v>20</v>
      </c>
      <c r="B35" s="18" t="s">
        <v>335</v>
      </c>
      <c r="C35" s="18">
        <v>9999</v>
      </c>
      <c r="D35" s="18">
        <v>9999</v>
      </c>
      <c r="E35" s="18" t="s">
        <v>303</v>
      </c>
      <c r="F35" s="20">
        <v>9999</v>
      </c>
      <c r="G35" s="19" t="s">
        <v>404</v>
      </c>
      <c r="H35" s="23" t="s">
        <v>305</v>
      </c>
      <c r="I35" s="18" t="s">
        <v>86</v>
      </c>
      <c r="J35" s="23" t="s">
        <v>350</v>
      </c>
      <c r="K35" s="18">
        <v>135</v>
      </c>
      <c r="L35" s="18" t="s">
        <v>86</v>
      </c>
      <c r="M35" s="18">
        <v>50</v>
      </c>
      <c r="N35" s="18" t="s">
        <v>86</v>
      </c>
      <c r="O35" s="18" t="s">
        <v>86</v>
      </c>
      <c r="P35" s="18" t="s">
        <v>86</v>
      </c>
      <c r="Q35" s="18" t="s">
        <v>326</v>
      </c>
      <c r="R35" s="21" t="s">
        <v>447</v>
      </c>
      <c r="S35" s="20" t="s">
        <v>337</v>
      </c>
      <c r="T35" s="20" t="s">
        <v>352</v>
      </c>
      <c r="U35" s="18" t="s">
        <v>434</v>
      </c>
      <c r="V35" s="18" t="s">
        <v>435</v>
      </c>
      <c r="W35" s="18" t="s">
        <v>450</v>
      </c>
      <c r="X35" s="25">
        <v>41229</v>
      </c>
      <c r="Y35" s="23" t="s">
        <v>357</v>
      </c>
      <c r="Z35" s="23" t="s">
        <v>332</v>
      </c>
      <c r="AA35" s="23" t="s">
        <v>450</v>
      </c>
      <c r="AB35" s="27" t="s">
        <v>451</v>
      </c>
      <c r="AC35" s="18" t="s">
        <v>408</v>
      </c>
    </row>
    <row r="36" spans="1:29" hidden="1" x14ac:dyDescent="0.2">
      <c r="A36" s="18">
        <v>10</v>
      </c>
      <c r="B36" s="18" t="s">
        <v>149</v>
      </c>
      <c r="C36" s="18">
        <v>9999</v>
      </c>
      <c r="D36" s="18">
        <v>9999</v>
      </c>
      <c r="E36" s="18" t="s">
        <v>303</v>
      </c>
      <c r="F36" s="20">
        <v>9999</v>
      </c>
      <c r="G36" s="19" t="s">
        <v>404</v>
      </c>
      <c r="H36" s="23" t="s">
        <v>305</v>
      </c>
      <c r="I36" s="18" t="s">
        <v>86</v>
      </c>
      <c r="J36" s="23" t="s">
        <v>350</v>
      </c>
      <c r="K36" s="18">
        <v>150</v>
      </c>
      <c r="L36" s="18" t="s">
        <v>86</v>
      </c>
      <c r="M36" s="18">
        <v>50</v>
      </c>
      <c r="N36" s="18" t="s">
        <v>86</v>
      </c>
      <c r="O36" s="18" t="s">
        <v>86</v>
      </c>
      <c r="P36" s="18" t="s">
        <v>86</v>
      </c>
      <c r="Q36" s="18" t="s">
        <v>326</v>
      </c>
      <c r="R36" s="21" t="s">
        <v>452</v>
      </c>
      <c r="S36" s="20">
        <v>9999</v>
      </c>
      <c r="T36" s="20">
        <v>9999</v>
      </c>
      <c r="U36" s="18" t="s">
        <v>434</v>
      </c>
      <c r="V36" s="18" t="s">
        <v>435</v>
      </c>
      <c r="W36" s="18" t="s">
        <v>453</v>
      </c>
      <c r="X36" s="25">
        <v>39324</v>
      </c>
      <c r="Y36" s="23" t="s">
        <v>454</v>
      </c>
      <c r="Z36" s="23" t="s">
        <v>332</v>
      </c>
      <c r="AA36" s="23" t="s">
        <v>314</v>
      </c>
      <c r="AB36" s="27" t="s">
        <v>455</v>
      </c>
      <c r="AC36" s="18" t="s">
        <v>456</v>
      </c>
    </row>
    <row r="37" spans="1:29" hidden="1" x14ac:dyDescent="0.2">
      <c r="A37" s="18">
        <v>22</v>
      </c>
      <c r="B37" s="18" t="s">
        <v>335</v>
      </c>
      <c r="C37" s="18">
        <v>9999</v>
      </c>
      <c r="D37" s="18">
        <v>9999</v>
      </c>
      <c r="E37" s="18" t="s">
        <v>303</v>
      </c>
      <c r="F37" s="20">
        <v>9999</v>
      </c>
      <c r="G37" s="19" t="s">
        <v>404</v>
      </c>
      <c r="H37" s="23" t="s">
        <v>305</v>
      </c>
      <c r="I37" s="18" t="s">
        <v>86</v>
      </c>
      <c r="J37" s="23" t="s">
        <v>350</v>
      </c>
      <c r="K37" s="18">
        <v>270</v>
      </c>
      <c r="L37" s="18" t="s">
        <v>86</v>
      </c>
      <c r="M37" s="18">
        <v>100</v>
      </c>
      <c r="N37" s="18" t="s">
        <v>86</v>
      </c>
      <c r="O37" s="18" t="s">
        <v>86</v>
      </c>
      <c r="P37" s="18" t="s">
        <v>86</v>
      </c>
      <c r="Q37" s="18" t="s">
        <v>326</v>
      </c>
      <c r="R37" s="21" t="s">
        <v>457</v>
      </c>
      <c r="S37" s="20" t="s">
        <v>337</v>
      </c>
      <c r="T37" s="20" t="s">
        <v>352</v>
      </c>
      <c r="U37" s="18" t="s">
        <v>434</v>
      </c>
      <c r="V37" s="18" t="s">
        <v>435</v>
      </c>
      <c r="W37" s="18" t="s">
        <v>458</v>
      </c>
      <c r="X37" s="25">
        <v>41229</v>
      </c>
      <c r="Y37" s="23" t="s">
        <v>359</v>
      </c>
      <c r="Z37" s="23" t="s">
        <v>332</v>
      </c>
      <c r="AA37" s="23" t="s">
        <v>458</v>
      </c>
      <c r="AB37" s="27" t="s">
        <v>449</v>
      </c>
      <c r="AC37" s="18" t="s">
        <v>408</v>
      </c>
    </row>
    <row r="38" spans="1:29" hidden="1" x14ac:dyDescent="0.2">
      <c r="A38" s="18">
        <v>81</v>
      </c>
      <c r="B38" s="18" t="s">
        <v>335</v>
      </c>
      <c r="C38" s="18">
        <v>9999</v>
      </c>
      <c r="D38" s="18">
        <v>9999</v>
      </c>
      <c r="E38" s="18" t="s">
        <v>322</v>
      </c>
      <c r="F38" s="20">
        <v>9999</v>
      </c>
      <c r="G38" s="19" t="s">
        <v>459</v>
      </c>
      <c r="H38" s="19" t="s">
        <v>460</v>
      </c>
      <c r="I38" s="19" t="s">
        <v>404</v>
      </c>
      <c r="J38" s="23" t="s">
        <v>461</v>
      </c>
      <c r="K38" s="18">
        <v>12.5</v>
      </c>
      <c r="L38" s="18" t="s">
        <v>86</v>
      </c>
      <c r="M38" s="18">
        <v>250</v>
      </c>
      <c r="N38" s="18" t="s">
        <v>86</v>
      </c>
      <c r="O38" s="18">
        <v>76.5</v>
      </c>
      <c r="P38" s="18" t="s">
        <v>86</v>
      </c>
      <c r="Q38" s="18" t="s">
        <v>326</v>
      </c>
      <c r="R38" s="21" t="s">
        <v>462</v>
      </c>
      <c r="S38" s="20">
        <v>9999</v>
      </c>
      <c r="T38" s="20" t="s">
        <v>352</v>
      </c>
      <c r="U38" s="18" t="s">
        <v>434</v>
      </c>
      <c r="V38" s="18" t="s">
        <v>435</v>
      </c>
      <c r="W38" s="18" t="s">
        <v>463</v>
      </c>
      <c r="X38" s="25">
        <v>43333</v>
      </c>
      <c r="Y38" s="23" t="s">
        <v>464</v>
      </c>
      <c r="Z38" s="23" t="s">
        <v>332</v>
      </c>
      <c r="AA38" s="23" t="s">
        <v>463</v>
      </c>
      <c r="AB38" s="27" t="s">
        <v>465</v>
      </c>
      <c r="AC38" s="18" t="s">
        <v>466</v>
      </c>
    </row>
    <row r="39" spans="1:29" hidden="1" x14ac:dyDescent="0.2">
      <c r="A39" s="18">
        <v>79</v>
      </c>
      <c r="B39" s="18" t="s">
        <v>335</v>
      </c>
      <c r="C39" s="18">
        <v>9999</v>
      </c>
      <c r="D39" s="18">
        <v>9999</v>
      </c>
      <c r="E39" s="18" t="s">
        <v>360</v>
      </c>
      <c r="F39" s="20">
        <v>9999</v>
      </c>
      <c r="G39" s="19" t="s">
        <v>459</v>
      </c>
      <c r="H39" s="19" t="s">
        <v>460</v>
      </c>
      <c r="I39" s="19" t="s">
        <v>404</v>
      </c>
      <c r="J39" s="23" t="s">
        <v>461</v>
      </c>
      <c r="K39" s="18">
        <v>25</v>
      </c>
      <c r="L39" s="18" t="s">
        <v>86</v>
      </c>
      <c r="M39" s="18">
        <v>500</v>
      </c>
      <c r="N39" s="18" t="s">
        <v>86</v>
      </c>
      <c r="O39" s="18">
        <v>150</v>
      </c>
      <c r="P39" s="18" t="s">
        <v>86</v>
      </c>
      <c r="Q39" s="18" t="s">
        <v>326</v>
      </c>
      <c r="R39" s="21" t="s">
        <v>467</v>
      </c>
      <c r="S39" s="20">
        <v>9999</v>
      </c>
      <c r="T39" s="20" t="s">
        <v>352</v>
      </c>
      <c r="U39" s="18" t="s">
        <v>434</v>
      </c>
      <c r="V39" s="18" t="s">
        <v>435</v>
      </c>
      <c r="W39" s="18" t="s">
        <v>468</v>
      </c>
      <c r="X39" s="25">
        <v>41932</v>
      </c>
      <c r="Y39" s="23" t="s">
        <v>469</v>
      </c>
      <c r="Z39" s="23" t="s">
        <v>332</v>
      </c>
      <c r="AA39" s="23" t="s">
        <v>468</v>
      </c>
      <c r="AB39" s="27" t="s">
        <v>465</v>
      </c>
      <c r="AC39" s="18" t="s">
        <v>466</v>
      </c>
    </row>
    <row r="40" spans="1:29" hidden="1" x14ac:dyDescent="0.2">
      <c r="A40" s="18">
        <v>80</v>
      </c>
      <c r="B40" s="18" t="s">
        <v>335</v>
      </c>
      <c r="C40" s="18">
        <v>9999</v>
      </c>
      <c r="D40" s="18">
        <v>9999</v>
      </c>
      <c r="E40" s="18" t="s">
        <v>322</v>
      </c>
      <c r="F40" s="20">
        <v>9999</v>
      </c>
      <c r="G40" s="19" t="s">
        <v>459</v>
      </c>
      <c r="H40" s="19" t="s">
        <v>460</v>
      </c>
      <c r="I40" s="19" t="s">
        <v>404</v>
      </c>
      <c r="J40" s="23" t="s">
        <v>461</v>
      </c>
      <c r="K40" s="18">
        <v>25</v>
      </c>
      <c r="L40" s="18" t="s">
        <v>86</v>
      </c>
      <c r="M40" s="18">
        <v>500</v>
      </c>
      <c r="N40" s="18" t="s">
        <v>86</v>
      </c>
      <c r="O40" s="18">
        <v>153</v>
      </c>
      <c r="P40" s="18" t="s">
        <v>86</v>
      </c>
      <c r="Q40" s="18" t="s">
        <v>326</v>
      </c>
      <c r="R40" s="21" t="s">
        <v>470</v>
      </c>
      <c r="S40" s="20">
        <v>9999</v>
      </c>
      <c r="T40" s="20">
        <v>9999</v>
      </c>
      <c r="U40" s="18" t="s">
        <v>434</v>
      </c>
      <c r="V40" s="18" t="s">
        <v>435</v>
      </c>
      <c r="W40" s="18" t="s">
        <v>471</v>
      </c>
      <c r="X40" s="25">
        <v>43333</v>
      </c>
      <c r="Y40" s="23" t="s">
        <v>472</v>
      </c>
      <c r="Z40" s="23" t="s">
        <v>332</v>
      </c>
      <c r="AA40" s="23" t="s">
        <v>471</v>
      </c>
      <c r="AB40" s="27" t="s">
        <v>465</v>
      </c>
      <c r="AC40" s="18" t="s">
        <v>466</v>
      </c>
    </row>
    <row r="41" spans="1:29" hidden="1" x14ac:dyDescent="0.2">
      <c r="A41" s="18">
        <v>88</v>
      </c>
      <c r="B41" s="18" t="s">
        <v>302</v>
      </c>
      <c r="C41" s="18">
        <v>9999</v>
      </c>
      <c r="D41" s="18">
        <v>9999</v>
      </c>
      <c r="E41" s="23" t="s">
        <v>473</v>
      </c>
      <c r="F41" s="20">
        <v>9999</v>
      </c>
      <c r="G41" s="23" t="s">
        <v>305</v>
      </c>
      <c r="H41" s="18" t="s">
        <v>86</v>
      </c>
      <c r="I41" s="18" t="s">
        <v>86</v>
      </c>
      <c r="J41" s="23" t="s">
        <v>305</v>
      </c>
      <c r="K41" s="24">
        <v>30</v>
      </c>
      <c r="L41" s="22" t="s">
        <v>86</v>
      </c>
      <c r="M41" s="22" t="s">
        <v>86</v>
      </c>
      <c r="N41" s="22" t="s">
        <v>86</v>
      </c>
      <c r="O41" s="22" t="s">
        <v>86</v>
      </c>
      <c r="P41" s="22" t="s">
        <v>86</v>
      </c>
      <c r="Q41" s="23" t="s">
        <v>474</v>
      </c>
      <c r="R41" s="19" t="s">
        <v>475</v>
      </c>
      <c r="S41" s="20">
        <v>9999</v>
      </c>
      <c r="T41" s="20">
        <v>9999</v>
      </c>
      <c r="U41" s="18" t="s">
        <v>434</v>
      </c>
      <c r="V41" s="18" t="s">
        <v>435</v>
      </c>
      <c r="Y41" s="23" t="s">
        <v>476</v>
      </c>
      <c r="Z41" s="23" t="s">
        <v>332</v>
      </c>
      <c r="AA41" s="23" t="s">
        <v>314</v>
      </c>
      <c r="AB41" s="27" t="s">
        <v>455</v>
      </c>
      <c r="AC41" s="23" t="s">
        <v>305</v>
      </c>
    </row>
    <row r="42" spans="1:29" hidden="1" x14ac:dyDescent="0.2">
      <c r="A42" s="18">
        <v>1</v>
      </c>
      <c r="B42" s="18" t="s">
        <v>149</v>
      </c>
      <c r="C42" s="18">
        <v>9999</v>
      </c>
      <c r="D42" s="18">
        <v>9999</v>
      </c>
      <c r="E42" s="18" t="s">
        <v>473</v>
      </c>
      <c r="F42" s="20">
        <v>9999</v>
      </c>
      <c r="G42" s="18" t="s">
        <v>418</v>
      </c>
      <c r="H42" s="20">
        <v>9888</v>
      </c>
      <c r="I42" s="20">
        <v>9888</v>
      </c>
      <c r="J42" s="20" t="s">
        <v>305</v>
      </c>
      <c r="K42" s="18">
        <v>60</v>
      </c>
      <c r="M42" s="18">
        <v>50</v>
      </c>
      <c r="N42" s="18">
        <v>1</v>
      </c>
      <c r="O42" s="18">
        <v>45</v>
      </c>
      <c r="P42" s="18">
        <v>5</v>
      </c>
      <c r="Q42" s="18" t="s">
        <v>477</v>
      </c>
      <c r="R42" s="21" t="s">
        <v>478</v>
      </c>
      <c r="S42" s="20">
        <v>9999</v>
      </c>
      <c r="T42" s="20">
        <v>9999</v>
      </c>
      <c r="U42" s="18" t="s">
        <v>434</v>
      </c>
      <c r="V42" s="18" t="s">
        <v>435</v>
      </c>
      <c r="W42" s="18" t="s">
        <v>479</v>
      </c>
      <c r="X42" s="25">
        <v>40487</v>
      </c>
      <c r="AC42" s="20" t="s">
        <v>480</v>
      </c>
    </row>
    <row r="43" spans="1:29" hidden="1" x14ac:dyDescent="0.2">
      <c r="A43" s="18">
        <v>4</v>
      </c>
      <c r="B43" s="18" t="s">
        <v>149</v>
      </c>
      <c r="C43" s="18">
        <v>9999</v>
      </c>
      <c r="D43" s="18">
        <v>9999</v>
      </c>
      <c r="E43" s="18" t="s">
        <v>473</v>
      </c>
      <c r="F43" s="20">
        <v>9999</v>
      </c>
      <c r="G43" s="18" t="s">
        <v>418</v>
      </c>
      <c r="H43" s="20">
        <v>9888</v>
      </c>
      <c r="I43" s="20">
        <v>9888</v>
      </c>
      <c r="J43" s="20" t="s">
        <v>305</v>
      </c>
      <c r="K43" s="20">
        <v>60</v>
      </c>
      <c r="M43" s="20" t="s">
        <v>481</v>
      </c>
      <c r="Q43" s="18" t="s">
        <v>477</v>
      </c>
      <c r="R43" s="21" t="s">
        <v>482</v>
      </c>
      <c r="S43" s="20">
        <v>9999</v>
      </c>
      <c r="T43" s="20">
        <v>9999</v>
      </c>
      <c r="U43" s="18" t="s">
        <v>434</v>
      </c>
      <c r="V43" s="18" t="s">
        <v>435</v>
      </c>
      <c r="W43" s="18" t="s">
        <v>483</v>
      </c>
      <c r="X43" s="25">
        <v>41417</v>
      </c>
      <c r="AC43" s="20" t="s">
        <v>480</v>
      </c>
    </row>
    <row r="44" spans="1:29" hidden="1" x14ac:dyDescent="0.2">
      <c r="A44" s="18">
        <v>5</v>
      </c>
      <c r="B44" s="18" t="s">
        <v>149</v>
      </c>
      <c r="C44" s="18">
        <v>9999</v>
      </c>
      <c r="D44" s="18">
        <v>9999</v>
      </c>
      <c r="E44" s="18" t="s">
        <v>473</v>
      </c>
      <c r="F44" s="20">
        <v>9999</v>
      </c>
      <c r="G44" s="18" t="s">
        <v>418</v>
      </c>
      <c r="H44" s="20">
        <v>9888</v>
      </c>
      <c r="I44" s="20">
        <v>9888</v>
      </c>
      <c r="J44" s="20" t="s">
        <v>305</v>
      </c>
      <c r="K44" s="20">
        <v>60</v>
      </c>
      <c r="M44" s="20" t="s">
        <v>484</v>
      </c>
      <c r="Q44" s="18" t="s">
        <v>477</v>
      </c>
      <c r="R44" s="21" t="s">
        <v>485</v>
      </c>
      <c r="S44" s="20">
        <v>9999</v>
      </c>
      <c r="T44" s="20">
        <v>9999</v>
      </c>
      <c r="U44" s="18" t="s">
        <v>434</v>
      </c>
      <c r="V44" s="18" t="s">
        <v>435</v>
      </c>
      <c r="W44" s="18" t="s">
        <v>486</v>
      </c>
      <c r="X44" s="25">
        <v>41417</v>
      </c>
      <c r="AC44" s="20" t="s">
        <v>480</v>
      </c>
    </row>
    <row r="45" spans="1:29" hidden="1" x14ac:dyDescent="0.2">
      <c r="A45" s="18">
        <v>92</v>
      </c>
      <c r="B45" s="18" t="s">
        <v>302</v>
      </c>
      <c r="C45" s="18">
        <v>9999</v>
      </c>
      <c r="D45" s="18">
        <v>9999</v>
      </c>
      <c r="E45" s="23" t="s">
        <v>473</v>
      </c>
      <c r="F45" s="20">
        <v>9999</v>
      </c>
      <c r="G45" s="23" t="s">
        <v>305</v>
      </c>
      <c r="H45" s="18" t="s">
        <v>86</v>
      </c>
      <c r="I45" s="18" t="s">
        <v>86</v>
      </c>
      <c r="J45" s="23" t="s">
        <v>305</v>
      </c>
      <c r="K45" s="24">
        <v>60</v>
      </c>
      <c r="L45" s="22" t="s">
        <v>86</v>
      </c>
      <c r="M45" s="22" t="s">
        <v>86</v>
      </c>
      <c r="N45" s="22" t="s">
        <v>86</v>
      </c>
      <c r="O45" s="22" t="s">
        <v>86</v>
      </c>
      <c r="P45" s="22" t="s">
        <v>86</v>
      </c>
      <c r="Q45" s="23" t="s">
        <v>487</v>
      </c>
      <c r="R45" s="19" t="s">
        <v>488</v>
      </c>
      <c r="S45" s="20">
        <v>9999</v>
      </c>
      <c r="T45" s="20">
        <v>9999</v>
      </c>
      <c r="U45" s="18" t="s">
        <v>434</v>
      </c>
      <c r="V45" s="18" t="s">
        <v>435</v>
      </c>
      <c r="Y45" s="23" t="s">
        <v>489</v>
      </c>
      <c r="Z45" s="23" t="s">
        <v>332</v>
      </c>
      <c r="AA45" s="29" t="s">
        <v>490</v>
      </c>
      <c r="AB45" s="27" t="s">
        <v>491</v>
      </c>
      <c r="AC45" s="23" t="s">
        <v>305</v>
      </c>
    </row>
    <row r="46" spans="1:29" hidden="1" x14ac:dyDescent="0.2">
      <c r="A46" s="18">
        <v>89</v>
      </c>
      <c r="B46" s="18" t="s">
        <v>302</v>
      </c>
      <c r="C46" s="18">
        <v>9999</v>
      </c>
      <c r="D46" s="18">
        <v>9999</v>
      </c>
      <c r="E46" s="23" t="s">
        <v>473</v>
      </c>
      <c r="F46" s="20">
        <v>9999</v>
      </c>
      <c r="G46" s="23" t="s">
        <v>305</v>
      </c>
      <c r="H46" s="18" t="s">
        <v>86</v>
      </c>
      <c r="I46" s="18" t="s">
        <v>86</v>
      </c>
      <c r="J46" s="23" t="s">
        <v>305</v>
      </c>
      <c r="K46" s="24">
        <v>60</v>
      </c>
      <c r="L46" s="22" t="s">
        <v>86</v>
      </c>
      <c r="M46" s="22" t="s">
        <v>86</v>
      </c>
      <c r="N46" s="22" t="s">
        <v>86</v>
      </c>
      <c r="O46" s="22" t="s">
        <v>86</v>
      </c>
      <c r="P46" s="22" t="s">
        <v>86</v>
      </c>
      <c r="Q46" s="23" t="s">
        <v>474</v>
      </c>
      <c r="R46" s="19" t="s">
        <v>492</v>
      </c>
      <c r="S46" s="20">
        <v>9999</v>
      </c>
      <c r="T46" s="20">
        <v>9999</v>
      </c>
      <c r="U46" s="18" t="s">
        <v>434</v>
      </c>
      <c r="V46" s="18" t="s">
        <v>435</v>
      </c>
      <c r="Y46" s="23" t="s">
        <v>489</v>
      </c>
      <c r="Z46" s="23" t="s">
        <v>332</v>
      </c>
      <c r="AA46" s="23" t="s">
        <v>314</v>
      </c>
      <c r="AB46" s="27" t="s">
        <v>455</v>
      </c>
      <c r="AC46" s="23" t="s">
        <v>305</v>
      </c>
    </row>
    <row r="47" spans="1:29" hidden="1" x14ac:dyDescent="0.2">
      <c r="A47" s="18">
        <v>93</v>
      </c>
      <c r="B47" s="18" t="s">
        <v>302</v>
      </c>
      <c r="C47" s="18">
        <v>9999</v>
      </c>
      <c r="D47" s="18">
        <v>9999</v>
      </c>
      <c r="E47" s="23" t="s">
        <v>473</v>
      </c>
      <c r="F47" s="20">
        <v>9999</v>
      </c>
      <c r="G47" s="23" t="s">
        <v>305</v>
      </c>
      <c r="H47" s="18" t="s">
        <v>86</v>
      </c>
      <c r="I47" s="18" t="s">
        <v>86</v>
      </c>
      <c r="J47" s="23" t="s">
        <v>305</v>
      </c>
      <c r="K47" s="24">
        <v>120</v>
      </c>
      <c r="L47" s="22" t="s">
        <v>86</v>
      </c>
      <c r="M47" s="22" t="s">
        <v>86</v>
      </c>
      <c r="N47" s="22" t="s">
        <v>86</v>
      </c>
      <c r="O47" s="22" t="s">
        <v>86</v>
      </c>
      <c r="P47" s="22" t="s">
        <v>86</v>
      </c>
      <c r="Q47" s="23" t="s">
        <v>474</v>
      </c>
      <c r="R47" s="19" t="s">
        <v>493</v>
      </c>
      <c r="S47" s="20">
        <v>9999</v>
      </c>
      <c r="T47" s="20">
        <v>9999</v>
      </c>
      <c r="U47" s="18" t="s">
        <v>434</v>
      </c>
      <c r="V47" s="18" t="s">
        <v>435</v>
      </c>
      <c r="Y47" s="23" t="s">
        <v>494</v>
      </c>
      <c r="Z47" s="23" t="s">
        <v>332</v>
      </c>
      <c r="AA47" s="23" t="s">
        <v>314</v>
      </c>
      <c r="AB47" s="27" t="s">
        <v>455</v>
      </c>
      <c r="AC47" s="23" t="s">
        <v>305</v>
      </c>
    </row>
    <row r="48" spans="1:29" hidden="1" x14ac:dyDescent="0.2">
      <c r="A48" s="18">
        <v>6</v>
      </c>
      <c r="B48" s="18" t="s">
        <v>149</v>
      </c>
      <c r="C48" s="18">
        <v>9999</v>
      </c>
      <c r="D48" s="18">
        <v>9999</v>
      </c>
      <c r="E48" s="18" t="s">
        <v>303</v>
      </c>
      <c r="F48" s="20">
        <v>9999</v>
      </c>
      <c r="G48" s="18" t="s">
        <v>418</v>
      </c>
      <c r="H48" s="18" t="s">
        <v>86</v>
      </c>
      <c r="I48" s="18" t="s">
        <v>86</v>
      </c>
      <c r="J48" s="18" t="s">
        <v>305</v>
      </c>
      <c r="K48" s="18">
        <v>50</v>
      </c>
      <c r="L48" s="18" t="s">
        <v>86</v>
      </c>
      <c r="M48" s="18" t="s">
        <v>86</v>
      </c>
      <c r="N48" s="18" t="s">
        <v>86</v>
      </c>
      <c r="O48" s="18" t="s">
        <v>86</v>
      </c>
      <c r="P48" s="18" t="s">
        <v>86</v>
      </c>
      <c r="Q48" s="18" t="s">
        <v>326</v>
      </c>
      <c r="R48" s="21" t="s">
        <v>495</v>
      </c>
      <c r="S48" s="20">
        <v>9999</v>
      </c>
      <c r="T48" s="20">
        <v>9999</v>
      </c>
      <c r="U48" s="18" t="s">
        <v>434</v>
      </c>
      <c r="V48" s="18" t="s">
        <v>435</v>
      </c>
      <c r="W48" s="18" t="s">
        <v>496</v>
      </c>
      <c r="X48" s="25">
        <v>38707</v>
      </c>
      <c r="AC48" s="18" t="s">
        <v>305</v>
      </c>
    </row>
    <row r="49" spans="1:30" hidden="1" x14ac:dyDescent="0.2">
      <c r="A49" s="18">
        <v>86</v>
      </c>
      <c r="B49" s="18" t="s">
        <v>335</v>
      </c>
      <c r="C49" s="18">
        <v>9999</v>
      </c>
      <c r="D49" s="18">
        <v>9999</v>
      </c>
      <c r="E49" s="18" t="s">
        <v>303</v>
      </c>
      <c r="F49" s="20">
        <v>9999</v>
      </c>
      <c r="G49" s="19" t="s">
        <v>459</v>
      </c>
      <c r="H49" s="19" t="s">
        <v>460</v>
      </c>
      <c r="I49" s="19" t="s">
        <v>418</v>
      </c>
      <c r="J49" s="18" t="s">
        <v>497</v>
      </c>
      <c r="K49" s="18">
        <v>25</v>
      </c>
      <c r="L49" s="18" t="s">
        <v>86</v>
      </c>
      <c r="M49" s="18">
        <v>500</v>
      </c>
      <c r="N49" s="18" t="s">
        <v>86</v>
      </c>
      <c r="O49" s="18">
        <v>50</v>
      </c>
      <c r="P49" s="18" t="s">
        <v>86</v>
      </c>
      <c r="Q49" s="18" t="s">
        <v>326</v>
      </c>
      <c r="R49" s="21" t="s">
        <v>498</v>
      </c>
      <c r="S49" s="20">
        <v>9999</v>
      </c>
      <c r="T49" s="20">
        <v>9999</v>
      </c>
      <c r="U49" s="18" t="s">
        <v>434</v>
      </c>
      <c r="V49" s="18" t="s">
        <v>435</v>
      </c>
      <c r="W49" s="18" t="s">
        <v>499</v>
      </c>
      <c r="X49" s="25">
        <v>41053</v>
      </c>
      <c r="Y49" s="23" t="s">
        <v>500</v>
      </c>
      <c r="Z49" s="23" t="s">
        <v>332</v>
      </c>
      <c r="AA49" s="23" t="s">
        <v>499</v>
      </c>
      <c r="AB49" s="27" t="s">
        <v>501</v>
      </c>
      <c r="AC49" s="18" t="s">
        <v>502</v>
      </c>
    </row>
    <row r="50" spans="1:30" hidden="1" x14ac:dyDescent="0.2">
      <c r="A50" s="18">
        <v>87</v>
      </c>
      <c r="B50" s="18" t="s">
        <v>335</v>
      </c>
      <c r="C50" s="18">
        <v>9999</v>
      </c>
      <c r="D50" s="18">
        <v>9999</v>
      </c>
      <c r="E50" s="18" t="s">
        <v>303</v>
      </c>
      <c r="F50" s="20">
        <v>9999</v>
      </c>
      <c r="G50" s="19" t="s">
        <v>459</v>
      </c>
      <c r="H50" s="19" t="s">
        <v>460</v>
      </c>
      <c r="I50" s="19" t="s">
        <v>418</v>
      </c>
      <c r="J50" s="18" t="s">
        <v>497</v>
      </c>
      <c r="K50" s="18">
        <v>25</v>
      </c>
      <c r="L50" s="18" t="s">
        <v>86</v>
      </c>
      <c r="M50" s="18">
        <v>500</v>
      </c>
      <c r="N50" s="18" t="s">
        <v>86</v>
      </c>
      <c r="O50" s="18">
        <v>100</v>
      </c>
      <c r="P50" s="18" t="s">
        <v>86</v>
      </c>
      <c r="Q50" s="18" t="s">
        <v>326</v>
      </c>
      <c r="R50" s="21" t="s">
        <v>503</v>
      </c>
      <c r="S50" s="20">
        <v>9999</v>
      </c>
      <c r="T50" s="20">
        <v>9999</v>
      </c>
      <c r="U50" s="18" t="s">
        <v>434</v>
      </c>
      <c r="V50" s="18" t="s">
        <v>435</v>
      </c>
      <c r="W50" s="18" t="s">
        <v>504</v>
      </c>
      <c r="X50" s="25">
        <v>43452</v>
      </c>
      <c r="Y50" s="23" t="s">
        <v>505</v>
      </c>
      <c r="Z50" s="23" t="s">
        <v>332</v>
      </c>
      <c r="AA50" s="23" t="s">
        <v>504</v>
      </c>
      <c r="AB50" s="27" t="s">
        <v>501</v>
      </c>
      <c r="AC50" s="18" t="s">
        <v>502</v>
      </c>
    </row>
    <row r="51" spans="1:30" hidden="1" x14ac:dyDescent="0.2">
      <c r="A51" s="18">
        <v>65</v>
      </c>
      <c r="B51" s="18" t="s">
        <v>335</v>
      </c>
      <c r="C51" s="18">
        <v>9999</v>
      </c>
      <c r="D51" s="18">
        <v>9999</v>
      </c>
      <c r="E51" s="18" t="s">
        <v>322</v>
      </c>
      <c r="F51" s="20">
        <v>9999</v>
      </c>
      <c r="G51" s="19" t="s">
        <v>361</v>
      </c>
      <c r="H51" s="19" t="s">
        <v>362</v>
      </c>
      <c r="I51" s="18" t="s">
        <v>86</v>
      </c>
      <c r="J51" s="23" t="s">
        <v>363</v>
      </c>
      <c r="K51" s="18">
        <v>20</v>
      </c>
      <c r="L51" s="18" t="s">
        <v>86</v>
      </c>
      <c r="M51" s="18">
        <v>160</v>
      </c>
      <c r="N51" s="18" t="s">
        <v>86</v>
      </c>
      <c r="O51" s="18" t="s">
        <v>86</v>
      </c>
      <c r="P51" s="18" t="s">
        <v>86</v>
      </c>
      <c r="Q51" s="18" t="s">
        <v>326</v>
      </c>
      <c r="R51" s="21" t="s">
        <v>506</v>
      </c>
      <c r="S51" s="20">
        <v>9999</v>
      </c>
      <c r="T51" s="20" t="s">
        <v>352</v>
      </c>
      <c r="U51" s="18" t="s">
        <v>434</v>
      </c>
      <c r="V51" s="18" t="s">
        <v>435</v>
      </c>
      <c r="W51" s="18" t="s">
        <v>507</v>
      </c>
      <c r="X51" s="25">
        <v>43788</v>
      </c>
      <c r="Y51" s="23" t="s">
        <v>368</v>
      </c>
      <c r="Z51" s="23" t="s">
        <v>332</v>
      </c>
      <c r="AA51" s="23" t="s">
        <v>507</v>
      </c>
      <c r="AB51" s="27" t="s">
        <v>508</v>
      </c>
      <c r="AC51" s="18" t="s">
        <v>372</v>
      </c>
    </row>
    <row r="52" spans="1:30" hidden="1" x14ac:dyDescent="0.2">
      <c r="A52" s="18">
        <v>64</v>
      </c>
      <c r="B52" s="18" t="s">
        <v>335</v>
      </c>
      <c r="C52" s="18">
        <v>9999</v>
      </c>
      <c r="D52" s="18">
        <v>9999</v>
      </c>
      <c r="E52" s="18" t="s">
        <v>322</v>
      </c>
      <c r="F52" s="20">
        <v>9999</v>
      </c>
      <c r="G52" s="19" t="s">
        <v>361</v>
      </c>
      <c r="H52" s="19" t="s">
        <v>362</v>
      </c>
      <c r="I52" s="18" t="s">
        <v>86</v>
      </c>
      <c r="J52" s="23" t="s">
        <v>363</v>
      </c>
      <c r="K52" s="18">
        <v>30</v>
      </c>
      <c r="L52" s="18" t="s">
        <v>86</v>
      </c>
      <c r="M52" s="18">
        <v>240</v>
      </c>
      <c r="N52" s="18" t="s">
        <v>86</v>
      </c>
      <c r="O52" s="18" t="s">
        <v>86</v>
      </c>
      <c r="P52" s="18" t="s">
        <v>86</v>
      </c>
      <c r="Q52" s="18" t="s">
        <v>326</v>
      </c>
      <c r="R52" s="21" t="s">
        <v>509</v>
      </c>
      <c r="S52" s="20">
        <v>9999</v>
      </c>
      <c r="T52" s="20" t="s">
        <v>352</v>
      </c>
      <c r="U52" s="18" t="s">
        <v>434</v>
      </c>
      <c r="V52" s="18" t="s">
        <v>435</v>
      </c>
      <c r="W52" s="18" t="s">
        <v>510</v>
      </c>
      <c r="X52" s="25">
        <v>44160</v>
      </c>
      <c r="Y52" s="23" t="s">
        <v>511</v>
      </c>
      <c r="Z52" s="23" t="s">
        <v>332</v>
      </c>
      <c r="AA52" s="23" t="s">
        <v>510</v>
      </c>
      <c r="AB52" s="27" t="s">
        <v>508</v>
      </c>
      <c r="AC52" s="18" t="s">
        <v>372</v>
      </c>
    </row>
    <row r="53" spans="1:30" hidden="1" x14ac:dyDescent="0.2">
      <c r="A53" s="18">
        <v>70</v>
      </c>
      <c r="B53" s="18" t="s">
        <v>335</v>
      </c>
      <c r="C53" s="18">
        <v>9999</v>
      </c>
      <c r="D53" s="18">
        <v>9999</v>
      </c>
      <c r="E53" s="18" t="s">
        <v>360</v>
      </c>
      <c r="F53" s="20">
        <v>9999</v>
      </c>
      <c r="G53" s="19" t="s">
        <v>361</v>
      </c>
      <c r="H53" s="19" t="s">
        <v>362</v>
      </c>
      <c r="I53" s="18" t="s">
        <v>86</v>
      </c>
      <c r="J53" s="23" t="s">
        <v>363</v>
      </c>
      <c r="K53" s="18">
        <v>40</v>
      </c>
      <c r="L53" s="18" t="s">
        <v>86</v>
      </c>
      <c r="M53" s="18">
        <v>320</v>
      </c>
      <c r="N53" s="18" t="s">
        <v>86</v>
      </c>
      <c r="O53" s="18" t="s">
        <v>86</v>
      </c>
      <c r="P53" s="18" t="s">
        <v>86</v>
      </c>
      <c r="Q53" s="18" t="s">
        <v>326</v>
      </c>
      <c r="R53" s="21" t="s">
        <v>512</v>
      </c>
      <c r="S53" s="20">
        <v>9999</v>
      </c>
      <c r="T53" s="20" t="s">
        <v>352</v>
      </c>
      <c r="U53" s="18" t="s">
        <v>434</v>
      </c>
      <c r="V53" s="18" t="s">
        <v>435</v>
      </c>
      <c r="W53" s="18" t="s">
        <v>513</v>
      </c>
      <c r="X53" s="25">
        <v>43788</v>
      </c>
      <c r="Y53" s="23" t="s">
        <v>375</v>
      </c>
      <c r="Z53" s="23" t="s">
        <v>332</v>
      </c>
      <c r="AA53" s="23" t="s">
        <v>513</v>
      </c>
      <c r="AB53" s="27" t="s">
        <v>508</v>
      </c>
      <c r="AC53" s="18" t="s">
        <v>372</v>
      </c>
    </row>
    <row r="54" spans="1:30" hidden="1" x14ac:dyDescent="0.2">
      <c r="A54" s="18">
        <v>71</v>
      </c>
      <c r="B54" s="18" t="s">
        <v>335</v>
      </c>
      <c r="C54" s="18">
        <v>9999</v>
      </c>
      <c r="D54" s="18">
        <v>9999</v>
      </c>
      <c r="E54" s="18" t="s">
        <v>322</v>
      </c>
      <c r="F54" s="20">
        <v>9999</v>
      </c>
      <c r="G54" s="19" t="s">
        <v>361</v>
      </c>
      <c r="H54" s="19" t="s">
        <v>362</v>
      </c>
      <c r="I54" s="18" t="s">
        <v>86</v>
      </c>
      <c r="J54" s="23" t="s">
        <v>363</v>
      </c>
      <c r="K54" s="18">
        <v>40</v>
      </c>
      <c r="L54" s="18" t="s">
        <v>86</v>
      </c>
      <c r="M54" s="18">
        <v>320</v>
      </c>
      <c r="N54" s="18" t="s">
        <v>86</v>
      </c>
      <c r="O54" s="18" t="s">
        <v>86</v>
      </c>
      <c r="P54" s="18" t="s">
        <v>86</v>
      </c>
      <c r="Q54" s="18" t="s">
        <v>326</v>
      </c>
      <c r="R54" s="21" t="s">
        <v>506</v>
      </c>
      <c r="S54" s="20">
        <v>9999</v>
      </c>
      <c r="T54" s="20" t="s">
        <v>352</v>
      </c>
      <c r="U54" s="18" t="s">
        <v>434</v>
      </c>
      <c r="V54" s="18" t="s">
        <v>435</v>
      </c>
      <c r="W54" s="18" t="s">
        <v>514</v>
      </c>
      <c r="X54" s="25">
        <v>43788</v>
      </c>
      <c r="Y54" s="23" t="s">
        <v>515</v>
      </c>
      <c r="Z54" s="23" t="s">
        <v>332</v>
      </c>
      <c r="AA54" s="23" t="s">
        <v>514</v>
      </c>
      <c r="AB54" s="27" t="s">
        <v>508</v>
      </c>
      <c r="AC54" s="18" t="s">
        <v>372</v>
      </c>
    </row>
    <row r="55" spans="1:30" hidden="1" x14ac:dyDescent="0.2">
      <c r="A55" s="18">
        <v>67</v>
      </c>
      <c r="B55" s="18" t="s">
        <v>335</v>
      </c>
      <c r="C55" s="18">
        <v>9999</v>
      </c>
      <c r="D55" s="18">
        <v>9999</v>
      </c>
      <c r="E55" s="18" t="s">
        <v>360</v>
      </c>
      <c r="F55" s="20">
        <v>9999</v>
      </c>
      <c r="G55" s="19" t="s">
        <v>361</v>
      </c>
      <c r="H55" s="19" t="s">
        <v>362</v>
      </c>
      <c r="I55" s="18" t="s">
        <v>86</v>
      </c>
      <c r="J55" s="23" t="s">
        <v>363</v>
      </c>
      <c r="K55" s="18">
        <v>60</v>
      </c>
      <c r="L55" s="18" t="s">
        <v>86</v>
      </c>
      <c r="M55" s="18">
        <v>480</v>
      </c>
      <c r="N55" s="18" t="s">
        <v>86</v>
      </c>
      <c r="O55" s="18" t="s">
        <v>86</v>
      </c>
      <c r="P55" s="18" t="s">
        <v>86</v>
      </c>
      <c r="Q55" s="18" t="s">
        <v>326</v>
      </c>
      <c r="R55" s="21" t="s">
        <v>516</v>
      </c>
      <c r="S55" s="20">
        <v>9999</v>
      </c>
      <c r="T55" s="20" t="s">
        <v>352</v>
      </c>
      <c r="U55" s="18" t="s">
        <v>434</v>
      </c>
      <c r="V55" s="18" t="s">
        <v>435</v>
      </c>
      <c r="W55" s="18" t="s">
        <v>517</v>
      </c>
      <c r="X55" s="25">
        <v>44090</v>
      </c>
      <c r="Y55" s="23" t="s">
        <v>518</v>
      </c>
      <c r="Z55" s="23" t="s">
        <v>332</v>
      </c>
      <c r="AA55" s="23" t="s">
        <v>517</v>
      </c>
      <c r="AB55" s="27" t="s">
        <v>508</v>
      </c>
      <c r="AC55" s="18" t="s">
        <v>372</v>
      </c>
    </row>
    <row r="56" spans="1:30" hidden="1" x14ac:dyDescent="0.2">
      <c r="A56" s="18">
        <v>66</v>
      </c>
      <c r="B56" s="18" t="s">
        <v>335</v>
      </c>
      <c r="C56" s="18">
        <v>9999</v>
      </c>
      <c r="D56" s="18">
        <v>9999</v>
      </c>
      <c r="E56" s="18" t="s">
        <v>360</v>
      </c>
      <c r="F56" s="20">
        <v>9999</v>
      </c>
      <c r="G56" s="19" t="s">
        <v>361</v>
      </c>
      <c r="H56" s="19" t="s">
        <v>362</v>
      </c>
      <c r="I56" s="18" t="s">
        <v>86</v>
      </c>
      <c r="J56" s="23" t="s">
        <v>363</v>
      </c>
      <c r="K56" s="18">
        <v>80</v>
      </c>
      <c r="L56" s="18" t="s">
        <v>86</v>
      </c>
      <c r="M56" s="18">
        <v>640</v>
      </c>
      <c r="N56" s="18" t="s">
        <v>86</v>
      </c>
      <c r="O56" s="18" t="s">
        <v>86</v>
      </c>
      <c r="P56" s="18" t="s">
        <v>86</v>
      </c>
      <c r="Q56" s="18" t="s">
        <v>326</v>
      </c>
      <c r="R56" s="21" t="s">
        <v>519</v>
      </c>
      <c r="S56" s="20">
        <v>9999</v>
      </c>
      <c r="T56" s="20" t="s">
        <v>352</v>
      </c>
      <c r="U56" s="18" t="s">
        <v>434</v>
      </c>
      <c r="V56" s="18" t="s">
        <v>435</v>
      </c>
      <c r="W56" s="18" t="s">
        <v>520</v>
      </c>
      <c r="X56" s="25">
        <v>43788</v>
      </c>
      <c r="Y56" s="23" t="s">
        <v>521</v>
      </c>
      <c r="Z56" s="23" t="s">
        <v>332</v>
      </c>
      <c r="AA56" s="23" t="s">
        <v>520</v>
      </c>
      <c r="AB56" s="27" t="s">
        <v>508</v>
      </c>
      <c r="AC56" s="18" t="s">
        <v>372</v>
      </c>
    </row>
    <row r="57" spans="1:30" hidden="1" x14ac:dyDescent="0.2">
      <c r="A57" s="18">
        <v>185</v>
      </c>
      <c r="B57" s="18" t="s">
        <v>302</v>
      </c>
      <c r="C57" s="18">
        <v>9999</v>
      </c>
      <c r="D57" s="18">
        <v>9999</v>
      </c>
      <c r="E57" s="23" t="s">
        <v>522</v>
      </c>
      <c r="F57" s="20">
        <v>9999</v>
      </c>
      <c r="G57" s="19" t="s">
        <v>459</v>
      </c>
      <c r="H57" s="19" t="s">
        <v>460</v>
      </c>
      <c r="I57" s="18" t="s">
        <v>86</v>
      </c>
      <c r="J57" s="23" t="s">
        <v>523</v>
      </c>
      <c r="K57" s="22">
        <v>12.5</v>
      </c>
      <c r="L57" s="22" t="s">
        <v>86</v>
      </c>
      <c r="M57" s="24">
        <v>250</v>
      </c>
      <c r="N57" s="22" t="s">
        <v>86</v>
      </c>
      <c r="O57" s="22" t="s">
        <v>86</v>
      </c>
      <c r="P57" s="22" t="s">
        <v>86</v>
      </c>
      <c r="Q57" s="23" t="s">
        <v>524</v>
      </c>
      <c r="R57" s="23" t="s">
        <v>525</v>
      </c>
      <c r="S57" s="20">
        <v>9999</v>
      </c>
      <c r="T57" s="20">
        <v>9999</v>
      </c>
      <c r="U57" s="18" t="s">
        <v>434</v>
      </c>
      <c r="V57" s="18" t="s">
        <v>435</v>
      </c>
      <c r="Y57" s="23" t="s">
        <v>526</v>
      </c>
      <c r="Z57" s="23" t="s">
        <v>332</v>
      </c>
      <c r="AA57" s="29" t="s">
        <v>527</v>
      </c>
      <c r="AB57" s="27" t="s">
        <v>528</v>
      </c>
      <c r="AC57" s="23" t="s">
        <v>529</v>
      </c>
      <c r="AD57" s="14" t="s">
        <v>530</v>
      </c>
    </row>
    <row r="58" spans="1:30" hidden="1" x14ac:dyDescent="0.2">
      <c r="A58" s="18">
        <v>72</v>
      </c>
      <c r="B58" s="18" t="s">
        <v>335</v>
      </c>
      <c r="C58" s="18">
        <v>9999</v>
      </c>
      <c r="D58" s="18">
        <v>9999</v>
      </c>
      <c r="E58" s="18" t="s">
        <v>303</v>
      </c>
      <c r="F58" s="20">
        <v>9999</v>
      </c>
      <c r="G58" s="19" t="s">
        <v>459</v>
      </c>
      <c r="H58" s="19" t="s">
        <v>460</v>
      </c>
      <c r="I58" s="18" t="s">
        <v>86</v>
      </c>
      <c r="J58" s="18" t="s">
        <v>523</v>
      </c>
      <c r="K58" s="18">
        <v>25</v>
      </c>
      <c r="L58" s="18" t="s">
        <v>86</v>
      </c>
      <c r="M58" s="18">
        <v>500</v>
      </c>
      <c r="N58" s="18" t="s">
        <v>86</v>
      </c>
      <c r="O58" s="18" t="s">
        <v>86</v>
      </c>
      <c r="P58" s="18" t="s">
        <v>86</v>
      </c>
      <c r="Q58" s="18" t="s">
        <v>326</v>
      </c>
      <c r="R58" s="21" t="s">
        <v>531</v>
      </c>
      <c r="S58" s="20">
        <v>9999</v>
      </c>
      <c r="T58" s="20">
        <v>9999</v>
      </c>
      <c r="U58" s="18" t="s">
        <v>434</v>
      </c>
      <c r="V58" s="18" t="s">
        <v>435</v>
      </c>
      <c r="W58" s="18" t="s">
        <v>532</v>
      </c>
      <c r="X58" s="25">
        <v>43404</v>
      </c>
      <c r="Y58" s="23" t="s">
        <v>421</v>
      </c>
      <c r="Z58" s="23" t="s">
        <v>332</v>
      </c>
      <c r="AA58" s="23" t="s">
        <v>532</v>
      </c>
      <c r="AB58" s="27" t="s">
        <v>533</v>
      </c>
      <c r="AC58" s="18" t="s">
        <v>534</v>
      </c>
    </row>
    <row r="59" spans="1:30" hidden="1" x14ac:dyDescent="0.2">
      <c r="A59" s="18">
        <v>191</v>
      </c>
      <c r="B59" s="18" t="s">
        <v>302</v>
      </c>
      <c r="C59" s="18">
        <v>9999</v>
      </c>
      <c r="D59" s="18">
        <v>9999</v>
      </c>
      <c r="E59" s="23" t="s">
        <v>535</v>
      </c>
      <c r="F59" s="20">
        <v>9999</v>
      </c>
      <c r="G59" s="19" t="s">
        <v>459</v>
      </c>
      <c r="H59" s="19" t="s">
        <v>460</v>
      </c>
      <c r="I59" s="18" t="s">
        <v>86</v>
      </c>
      <c r="J59" s="23" t="s">
        <v>523</v>
      </c>
      <c r="K59" s="22">
        <v>25</v>
      </c>
      <c r="L59" s="22" t="s">
        <v>86</v>
      </c>
      <c r="M59" s="24">
        <v>500</v>
      </c>
      <c r="N59" s="22" t="s">
        <v>86</v>
      </c>
      <c r="O59" s="22" t="s">
        <v>86</v>
      </c>
      <c r="P59" s="22" t="s">
        <v>86</v>
      </c>
      <c r="Q59" s="23" t="s">
        <v>524</v>
      </c>
      <c r="R59" s="23" t="s">
        <v>525</v>
      </c>
      <c r="S59" s="20">
        <v>9999</v>
      </c>
      <c r="T59" s="20">
        <v>9999</v>
      </c>
      <c r="U59" s="18" t="s">
        <v>434</v>
      </c>
      <c r="V59" s="18" t="s">
        <v>435</v>
      </c>
      <c r="Y59" s="23" t="s">
        <v>421</v>
      </c>
      <c r="Z59" s="23" t="s">
        <v>332</v>
      </c>
      <c r="AA59" s="29" t="s">
        <v>536</v>
      </c>
      <c r="AB59" s="27" t="s">
        <v>528</v>
      </c>
      <c r="AC59" s="23" t="s">
        <v>529</v>
      </c>
      <c r="AD59" s="14" t="s">
        <v>530</v>
      </c>
    </row>
    <row r="60" spans="1:30" hidden="1" x14ac:dyDescent="0.2">
      <c r="A60" s="18">
        <v>42</v>
      </c>
      <c r="B60" s="18" t="s">
        <v>149</v>
      </c>
      <c r="C60" s="18">
        <v>9999</v>
      </c>
      <c r="D60" s="18">
        <v>9999</v>
      </c>
      <c r="E60" s="18" t="s">
        <v>303</v>
      </c>
      <c r="F60" s="20">
        <v>9999</v>
      </c>
      <c r="G60" s="18" t="s">
        <v>323</v>
      </c>
      <c r="H60" s="18" t="s">
        <v>324</v>
      </c>
      <c r="I60" s="18" t="s">
        <v>86</v>
      </c>
      <c r="J60" s="23" t="s">
        <v>325</v>
      </c>
      <c r="K60" s="18">
        <v>20</v>
      </c>
      <c r="L60" s="18" t="s">
        <v>86</v>
      </c>
      <c r="M60" s="18">
        <v>120</v>
      </c>
      <c r="N60" s="18" t="s">
        <v>86</v>
      </c>
      <c r="O60" s="18" t="s">
        <v>86</v>
      </c>
      <c r="P60" s="18" t="s">
        <v>86</v>
      </c>
      <c r="Q60" s="18" t="s">
        <v>326</v>
      </c>
      <c r="R60" s="21" t="s">
        <v>537</v>
      </c>
      <c r="S60" s="20">
        <v>9999</v>
      </c>
      <c r="T60" s="20">
        <v>9999</v>
      </c>
      <c r="U60" s="18" t="s">
        <v>538</v>
      </c>
      <c r="V60" s="18" t="s">
        <v>329</v>
      </c>
      <c r="W60" s="18" t="s">
        <v>539</v>
      </c>
      <c r="X60" s="25">
        <v>40162</v>
      </c>
      <c r="Y60" s="23" t="s">
        <v>331</v>
      </c>
      <c r="Z60" s="23" t="s">
        <v>332</v>
      </c>
      <c r="AA60" s="23" t="s">
        <v>314</v>
      </c>
      <c r="AB60" s="27" t="s">
        <v>540</v>
      </c>
      <c r="AC60" s="18" t="s">
        <v>334</v>
      </c>
    </row>
    <row r="61" spans="1:30" hidden="1" x14ac:dyDescent="0.2">
      <c r="A61" s="18">
        <v>53</v>
      </c>
      <c r="B61" s="18" t="s">
        <v>335</v>
      </c>
      <c r="C61" s="18">
        <v>9999</v>
      </c>
      <c r="D61" s="18">
        <v>9999</v>
      </c>
      <c r="E61" s="18" t="s">
        <v>322</v>
      </c>
      <c r="F61" s="20">
        <v>9999</v>
      </c>
      <c r="G61" s="18" t="s">
        <v>323</v>
      </c>
      <c r="H61" s="18" t="s">
        <v>324</v>
      </c>
      <c r="I61" s="18" t="s">
        <v>86</v>
      </c>
      <c r="J61" s="23" t="s">
        <v>325</v>
      </c>
      <c r="K61" s="18">
        <v>20</v>
      </c>
      <c r="L61" s="18" t="s">
        <v>86</v>
      </c>
      <c r="M61" s="18">
        <v>120</v>
      </c>
      <c r="N61" s="18" t="s">
        <v>86</v>
      </c>
      <c r="O61" s="18" t="s">
        <v>86</v>
      </c>
      <c r="P61" s="18" t="s">
        <v>86</v>
      </c>
      <c r="Q61" s="18" t="s">
        <v>326</v>
      </c>
      <c r="R61" s="21" t="s">
        <v>541</v>
      </c>
      <c r="S61" s="20">
        <v>9999</v>
      </c>
      <c r="T61" s="20">
        <v>9999</v>
      </c>
      <c r="U61" s="18" t="s">
        <v>538</v>
      </c>
      <c r="V61" s="18" t="s">
        <v>329</v>
      </c>
      <c r="W61" s="18" t="s">
        <v>542</v>
      </c>
      <c r="X61" s="25">
        <v>43270</v>
      </c>
      <c r="Y61" s="23" t="s">
        <v>339</v>
      </c>
      <c r="Z61" s="23" t="s">
        <v>332</v>
      </c>
      <c r="AA61" s="23" t="s">
        <v>542</v>
      </c>
      <c r="AB61" s="27" t="s">
        <v>543</v>
      </c>
      <c r="AC61" s="18" t="s">
        <v>334</v>
      </c>
    </row>
    <row r="62" spans="1:30" hidden="1" x14ac:dyDescent="0.2">
      <c r="A62" s="18">
        <v>44</v>
      </c>
      <c r="B62" s="18" t="s">
        <v>149</v>
      </c>
      <c r="C62" s="18">
        <v>9999</v>
      </c>
      <c r="D62" s="18">
        <v>9999</v>
      </c>
      <c r="E62" s="18" t="s">
        <v>303</v>
      </c>
      <c r="F62" s="20">
        <v>9999</v>
      </c>
      <c r="G62" s="18" t="s">
        <v>323</v>
      </c>
      <c r="H62" s="18" t="s">
        <v>324</v>
      </c>
      <c r="I62" s="18" t="s">
        <v>86</v>
      </c>
      <c r="J62" s="23" t="s">
        <v>325</v>
      </c>
      <c r="K62" s="18">
        <v>80</v>
      </c>
      <c r="L62" s="18" t="s">
        <v>86</v>
      </c>
      <c r="M62" s="18">
        <v>480</v>
      </c>
      <c r="N62" s="18" t="s">
        <v>86</v>
      </c>
      <c r="O62" s="18" t="s">
        <v>86</v>
      </c>
      <c r="P62" s="18" t="s">
        <v>86</v>
      </c>
      <c r="Q62" s="18" t="s">
        <v>326</v>
      </c>
      <c r="R62" s="21" t="s">
        <v>544</v>
      </c>
      <c r="S62" s="20">
        <v>9999</v>
      </c>
      <c r="T62" s="20">
        <v>9999</v>
      </c>
      <c r="U62" s="18" t="s">
        <v>538</v>
      </c>
      <c r="V62" s="18" t="s">
        <v>329</v>
      </c>
      <c r="W62" s="18" t="s">
        <v>545</v>
      </c>
      <c r="X62" s="25">
        <v>44593</v>
      </c>
      <c r="AC62" s="18" t="s">
        <v>334</v>
      </c>
    </row>
    <row r="63" spans="1:30" hidden="1" x14ac:dyDescent="0.2">
      <c r="A63" s="18">
        <v>18</v>
      </c>
      <c r="B63" s="18" t="s">
        <v>149</v>
      </c>
      <c r="C63" s="18">
        <v>9999</v>
      </c>
      <c r="D63" s="18">
        <v>9999</v>
      </c>
      <c r="E63" s="18" t="s">
        <v>303</v>
      </c>
      <c r="F63" s="20">
        <v>9999</v>
      </c>
      <c r="G63" s="19" t="s">
        <v>404</v>
      </c>
      <c r="H63" s="23" t="s">
        <v>305</v>
      </c>
      <c r="I63" s="18" t="s">
        <v>86</v>
      </c>
      <c r="J63" s="23" t="s">
        <v>350</v>
      </c>
      <c r="K63" s="18">
        <v>67.5</v>
      </c>
      <c r="L63" s="18" t="s">
        <v>86</v>
      </c>
      <c r="M63" s="18">
        <v>25</v>
      </c>
      <c r="N63" s="18" t="s">
        <v>86</v>
      </c>
      <c r="O63" s="18" t="s">
        <v>86</v>
      </c>
      <c r="P63" s="18" t="s">
        <v>86</v>
      </c>
      <c r="Q63" s="18" t="s">
        <v>326</v>
      </c>
      <c r="R63" s="21" t="s">
        <v>546</v>
      </c>
      <c r="S63" s="20">
        <v>9999</v>
      </c>
      <c r="T63" s="20">
        <v>9999</v>
      </c>
      <c r="U63" s="18" t="s">
        <v>538</v>
      </c>
      <c r="V63" s="18" t="s">
        <v>329</v>
      </c>
      <c r="W63" s="18" t="s">
        <v>547</v>
      </c>
      <c r="X63" s="25">
        <v>41061</v>
      </c>
      <c r="Y63" s="23" t="s">
        <v>353</v>
      </c>
      <c r="Z63" s="23" t="s">
        <v>332</v>
      </c>
      <c r="AA63" s="23" t="s">
        <v>314</v>
      </c>
      <c r="AB63" s="27" t="s">
        <v>548</v>
      </c>
      <c r="AC63" s="18" t="s">
        <v>408</v>
      </c>
    </row>
    <row r="64" spans="1:30" hidden="1" x14ac:dyDescent="0.2">
      <c r="A64" s="18">
        <v>17</v>
      </c>
      <c r="B64" s="18" t="s">
        <v>149</v>
      </c>
      <c r="C64" s="18">
        <v>9999</v>
      </c>
      <c r="D64" s="18">
        <v>9999</v>
      </c>
      <c r="E64" s="18" t="s">
        <v>303</v>
      </c>
      <c r="F64" s="20">
        <v>9999</v>
      </c>
      <c r="G64" s="19" t="s">
        <v>404</v>
      </c>
      <c r="H64" s="23" t="s">
        <v>305</v>
      </c>
      <c r="I64" s="18" t="s">
        <v>86</v>
      </c>
      <c r="J64" s="23" t="s">
        <v>350</v>
      </c>
      <c r="K64" s="18">
        <v>135</v>
      </c>
      <c r="L64" s="18" t="s">
        <v>86</v>
      </c>
      <c r="M64" s="18">
        <v>50</v>
      </c>
      <c r="N64" s="18" t="s">
        <v>86</v>
      </c>
      <c r="O64" s="18" t="s">
        <v>86</v>
      </c>
      <c r="P64" s="18" t="s">
        <v>86</v>
      </c>
      <c r="Q64" s="18" t="s">
        <v>326</v>
      </c>
      <c r="R64" s="21" t="s">
        <v>546</v>
      </c>
      <c r="S64" s="20">
        <v>9999</v>
      </c>
      <c r="T64" s="20">
        <v>9999</v>
      </c>
      <c r="U64" s="18" t="s">
        <v>538</v>
      </c>
      <c r="V64" s="18" t="s">
        <v>329</v>
      </c>
      <c r="W64" s="18" t="s">
        <v>549</v>
      </c>
      <c r="X64" s="25">
        <v>41061</v>
      </c>
      <c r="Y64" s="23" t="s">
        <v>357</v>
      </c>
      <c r="Z64" s="23" t="s">
        <v>332</v>
      </c>
      <c r="AA64" s="23" t="s">
        <v>314</v>
      </c>
      <c r="AB64" s="27" t="s">
        <v>540</v>
      </c>
      <c r="AC64" s="18" t="s">
        <v>408</v>
      </c>
    </row>
    <row r="65" spans="1:29" hidden="1" x14ac:dyDescent="0.2">
      <c r="A65" s="18">
        <v>123</v>
      </c>
      <c r="B65" s="18" t="s">
        <v>302</v>
      </c>
      <c r="C65" s="18">
        <v>9999</v>
      </c>
      <c r="D65" s="18">
        <v>9999</v>
      </c>
      <c r="E65" s="23" t="s">
        <v>303</v>
      </c>
      <c r="F65" s="20">
        <v>9999</v>
      </c>
      <c r="G65" s="19" t="s">
        <v>404</v>
      </c>
      <c r="H65" s="23" t="s">
        <v>305</v>
      </c>
      <c r="I65" s="18" t="s">
        <v>86</v>
      </c>
      <c r="J65" s="23" t="s">
        <v>350</v>
      </c>
      <c r="K65" s="22">
        <v>153</v>
      </c>
      <c r="L65" s="22" t="s">
        <v>86</v>
      </c>
      <c r="M65" s="22">
        <v>50</v>
      </c>
      <c r="N65" s="22" t="s">
        <v>86</v>
      </c>
      <c r="O65" s="22" t="s">
        <v>86</v>
      </c>
      <c r="P65" s="22" t="s">
        <v>86</v>
      </c>
      <c r="Q65" s="23" t="s">
        <v>550</v>
      </c>
      <c r="R65" s="23" t="s">
        <v>551</v>
      </c>
      <c r="S65" s="20">
        <v>9999</v>
      </c>
      <c r="T65" s="20" t="s">
        <v>352</v>
      </c>
      <c r="U65" s="18" t="s">
        <v>538</v>
      </c>
      <c r="V65" s="18" t="s">
        <v>329</v>
      </c>
      <c r="Y65" s="23" t="s">
        <v>412</v>
      </c>
      <c r="Z65" s="23" t="s">
        <v>332</v>
      </c>
      <c r="AA65" s="23" t="s">
        <v>314</v>
      </c>
      <c r="AB65" s="27" t="s">
        <v>548</v>
      </c>
      <c r="AC65" s="23" t="s">
        <v>552</v>
      </c>
    </row>
    <row r="66" spans="1:29" hidden="1" x14ac:dyDescent="0.2">
      <c r="A66" s="18">
        <v>19</v>
      </c>
      <c r="B66" s="18" t="s">
        <v>149</v>
      </c>
      <c r="C66" s="18">
        <v>9999</v>
      </c>
      <c r="D66" s="18">
        <v>9999</v>
      </c>
      <c r="E66" s="18" t="s">
        <v>303</v>
      </c>
      <c r="F66" s="20">
        <v>9999</v>
      </c>
      <c r="G66" s="19" t="s">
        <v>404</v>
      </c>
      <c r="H66" s="23" t="s">
        <v>305</v>
      </c>
      <c r="I66" s="18" t="s">
        <v>86</v>
      </c>
      <c r="J66" s="23" t="s">
        <v>350</v>
      </c>
      <c r="K66" s="18">
        <v>270</v>
      </c>
      <c r="L66" s="18" t="s">
        <v>86</v>
      </c>
      <c r="M66" s="18">
        <v>100</v>
      </c>
      <c r="N66" s="18" t="s">
        <v>86</v>
      </c>
      <c r="O66" s="18" t="s">
        <v>86</v>
      </c>
      <c r="P66" s="18" t="s">
        <v>86</v>
      </c>
      <c r="Q66" s="18" t="s">
        <v>326</v>
      </c>
      <c r="R66" s="21" t="s">
        <v>553</v>
      </c>
      <c r="S66" s="20">
        <v>9999</v>
      </c>
      <c r="T66" s="20">
        <v>9999</v>
      </c>
      <c r="U66" s="18" t="s">
        <v>538</v>
      </c>
      <c r="V66" s="18" t="s">
        <v>329</v>
      </c>
      <c r="W66" s="18" t="s">
        <v>554</v>
      </c>
      <c r="X66" s="25">
        <v>41061</v>
      </c>
      <c r="Y66" s="23" t="s">
        <v>359</v>
      </c>
      <c r="Z66" s="23" t="s">
        <v>332</v>
      </c>
      <c r="AA66" s="23" t="s">
        <v>314</v>
      </c>
      <c r="AB66" s="27" t="s">
        <v>540</v>
      </c>
      <c r="AC66" s="18" t="s">
        <v>408</v>
      </c>
    </row>
    <row r="67" spans="1:29" hidden="1" x14ac:dyDescent="0.2">
      <c r="A67" s="18">
        <v>3</v>
      </c>
      <c r="B67" s="18" t="s">
        <v>335</v>
      </c>
      <c r="C67" s="18">
        <v>9999</v>
      </c>
      <c r="D67" s="18">
        <v>9999</v>
      </c>
      <c r="E67" s="18" t="s">
        <v>473</v>
      </c>
      <c r="F67" s="20">
        <v>9999</v>
      </c>
      <c r="G67" s="18" t="s">
        <v>418</v>
      </c>
      <c r="H67" s="20">
        <v>9888</v>
      </c>
      <c r="I67" s="20">
        <v>9888</v>
      </c>
      <c r="J67" s="20" t="s">
        <v>305</v>
      </c>
      <c r="K67" s="20">
        <v>60</v>
      </c>
      <c r="M67" s="20" t="s">
        <v>555</v>
      </c>
      <c r="Q67" s="18" t="s">
        <v>477</v>
      </c>
      <c r="R67" s="21" t="s">
        <v>556</v>
      </c>
      <c r="S67" s="20">
        <v>9999</v>
      </c>
      <c r="T67" s="20">
        <v>9999</v>
      </c>
      <c r="U67" s="18" t="s">
        <v>538</v>
      </c>
      <c r="V67" s="18" t="s">
        <v>329</v>
      </c>
      <c r="W67" s="18" t="s">
        <v>557</v>
      </c>
      <c r="X67" s="25">
        <v>43452</v>
      </c>
      <c r="Y67" s="23" t="s">
        <v>489</v>
      </c>
      <c r="Z67" s="23" t="s">
        <v>332</v>
      </c>
      <c r="AA67" s="23" t="s">
        <v>557</v>
      </c>
      <c r="AB67" s="27" t="s">
        <v>558</v>
      </c>
      <c r="AC67" s="20" t="s">
        <v>480</v>
      </c>
    </row>
    <row r="68" spans="1:29" hidden="1" x14ac:dyDescent="0.2">
      <c r="A68" s="18">
        <v>48</v>
      </c>
      <c r="B68" s="18" t="s">
        <v>149</v>
      </c>
      <c r="C68" s="18">
        <v>9999</v>
      </c>
      <c r="D68" s="18">
        <v>9999</v>
      </c>
      <c r="E68" s="18" t="s">
        <v>303</v>
      </c>
      <c r="F68" s="20">
        <v>9999</v>
      </c>
      <c r="G68" s="18" t="s">
        <v>323</v>
      </c>
      <c r="H68" s="18" t="s">
        <v>324</v>
      </c>
      <c r="I68" s="18" t="s">
        <v>86</v>
      </c>
      <c r="J68" s="23" t="s">
        <v>325</v>
      </c>
      <c r="K68" s="18">
        <v>20</v>
      </c>
      <c r="L68" s="18" t="s">
        <v>86</v>
      </c>
      <c r="M68" s="18">
        <v>120</v>
      </c>
      <c r="N68" s="18" t="s">
        <v>86</v>
      </c>
      <c r="O68" s="18" t="s">
        <v>86</v>
      </c>
      <c r="P68" s="18" t="s">
        <v>86</v>
      </c>
      <c r="Q68" s="18" t="s">
        <v>326</v>
      </c>
      <c r="R68" s="21" t="s">
        <v>559</v>
      </c>
      <c r="S68" s="20">
        <v>9999</v>
      </c>
      <c r="T68" s="20">
        <v>9999</v>
      </c>
      <c r="U68" s="18" t="s">
        <v>560</v>
      </c>
      <c r="V68" s="18" t="s">
        <v>561</v>
      </c>
      <c r="W68" s="18" t="s">
        <v>562</v>
      </c>
      <c r="X68" s="25">
        <v>44601</v>
      </c>
      <c r="AC68" s="18" t="s">
        <v>334</v>
      </c>
    </row>
    <row r="69" spans="1:29" hidden="1" x14ac:dyDescent="0.2">
      <c r="A69" s="18">
        <v>166</v>
      </c>
      <c r="B69" s="18" t="s">
        <v>302</v>
      </c>
      <c r="C69" s="18">
        <v>9999</v>
      </c>
      <c r="D69" s="18">
        <v>9999</v>
      </c>
      <c r="E69" s="23" t="s">
        <v>303</v>
      </c>
      <c r="F69" s="20">
        <v>9999</v>
      </c>
      <c r="G69" s="23" t="s">
        <v>306</v>
      </c>
      <c r="H69" s="18" t="s">
        <v>86</v>
      </c>
      <c r="I69" s="18" t="s">
        <v>86</v>
      </c>
      <c r="J69" s="23" t="s">
        <v>306</v>
      </c>
      <c r="K69" s="24">
        <v>250</v>
      </c>
      <c r="L69" s="22" t="s">
        <v>86</v>
      </c>
      <c r="M69" s="22" t="s">
        <v>86</v>
      </c>
      <c r="N69" s="22" t="s">
        <v>86</v>
      </c>
      <c r="O69" s="22" t="s">
        <v>86</v>
      </c>
      <c r="P69" s="22" t="s">
        <v>86</v>
      </c>
      <c r="Q69" s="23" t="s">
        <v>318</v>
      </c>
      <c r="R69" s="23">
        <v>8</v>
      </c>
      <c r="S69" s="20">
        <v>9999</v>
      </c>
      <c r="T69" s="20">
        <v>9999</v>
      </c>
      <c r="U69" s="23" t="s">
        <v>563</v>
      </c>
      <c r="V69" s="23" t="s">
        <v>564</v>
      </c>
      <c r="Y69" s="23" t="s">
        <v>320</v>
      </c>
      <c r="Z69" s="23" t="s">
        <v>313</v>
      </c>
      <c r="AA69" s="23" t="s">
        <v>314</v>
      </c>
      <c r="AB69" s="27" t="s">
        <v>565</v>
      </c>
      <c r="AC69" s="23" t="s">
        <v>306</v>
      </c>
    </row>
    <row r="70" spans="1:29" hidden="1" x14ac:dyDescent="0.2">
      <c r="A70" s="18">
        <v>27</v>
      </c>
      <c r="B70" s="18" t="s">
        <v>335</v>
      </c>
      <c r="C70" s="18">
        <v>9999</v>
      </c>
      <c r="D70" s="18">
        <v>9999</v>
      </c>
      <c r="E70" s="18" t="s">
        <v>303</v>
      </c>
      <c r="F70" s="20">
        <v>9999</v>
      </c>
      <c r="G70" s="19" t="s">
        <v>404</v>
      </c>
      <c r="H70" s="23" t="s">
        <v>305</v>
      </c>
      <c r="I70" s="18" t="s">
        <v>86</v>
      </c>
      <c r="J70" s="23" t="s">
        <v>350</v>
      </c>
      <c r="K70" s="18">
        <v>67.5</v>
      </c>
      <c r="L70" s="18" t="s">
        <v>86</v>
      </c>
      <c r="M70" s="18">
        <v>25</v>
      </c>
      <c r="N70" s="18" t="s">
        <v>86</v>
      </c>
      <c r="O70" s="18" t="s">
        <v>86</v>
      </c>
      <c r="P70" s="18" t="s">
        <v>86</v>
      </c>
      <c r="Q70" s="18" t="s">
        <v>326</v>
      </c>
      <c r="R70" s="21" t="s">
        <v>566</v>
      </c>
      <c r="S70" s="20">
        <v>9999</v>
      </c>
      <c r="T70" s="20">
        <v>9999</v>
      </c>
      <c r="U70" s="18" t="s">
        <v>567</v>
      </c>
      <c r="V70" s="18" t="s">
        <v>329</v>
      </c>
      <c r="W70" s="18" t="s">
        <v>568</v>
      </c>
      <c r="X70" s="25">
        <v>43600</v>
      </c>
      <c r="Y70" s="23" t="s">
        <v>353</v>
      </c>
      <c r="Z70" s="23" t="s">
        <v>332</v>
      </c>
      <c r="AA70" s="23" t="s">
        <v>568</v>
      </c>
      <c r="AB70" s="27" t="s">
        <v>569</v>
      </c>
      <c r="AC70" s="18" t="s">
        <v>408</v>
      </c>
    </row>
    <row r="71" spans="1:29" hidden="1" x14ac:dyDescent="0.2">
      <c r="A71" s="18">
        <v>26</v>
      </c>
      <c r="B71" s="18" t="s">
        <v>335</v>
      </c>
      <c r="C71" s="18">
        <v>9999</v>
      </c>
      <c r="D71" s="18">
        <v>9999</v>
      </c>
      <c r="E71" s="18" t="s">
        <v>303</v>
      </c>
      <c r="F71" s="20">
        <v>9999</v>
      </c>
      <c r="G71" s="19" t="s">
        <v>404</v>
      </c>
      <c r="H71" s="23" t="s">
        <v>305</v>
      </c>
      <c r="I71" s="18" t="s">
        <v>86</v>
      </c>
      <c r="J71" s="23" t="s">
        <v>350</v>
      </c>
      <c r="K71" s="18">
        <v>135</v>
      </c>
      <c r="L71" s="18" t="s">
        <v>86</v>
      </c>
      <c r="M71" s="18">
        <v>50</v>
      </c>
      <c r="N71" s="18" t="s">
        <v>86</v>
      </c>
      <c r="O71" s="18" t="s">
        <v>86</v>
      </c>
      <c r="P71" s="18" t="s">
        <v>86</v>
      </c>
      <c r="Q71" s="18" t="s">
        <v>326</v>
      </c>
      <c r="R71" s="21" t="s">
        <v>566</v>
      </c>
      <c r="S71" s="20">
        <v>9999</v>
      </c>
      <c r="T71" s="20">
        <v>9999</v>
      </c>
      <c r="U71" s="18" t="s">
        <v>567</v>
      </c>
      <c r="V71" s="18" t="s">
        <v>329</v>
      </c>
      <c r="W71" s="18" t="s">
        <v>570</v>
      </c>
      <c r="X71" s="25">
        <v>43600</v>
      </c>
      <c r="Y71" s="23" t="s">
        <v>357</v>
      </c>
      <c r="Z71" s="23" t="s">
        <v>332</v>
      </c>
      <c r="AA71" s="23" t="s">
        <v>570</v>
      </c>
      <c r="AB71" s="27" t="s">
        <v>571</v>
      </c>
      <c r="AC71" s="18" t="s">
        <v>408</v>
      </c>
    </row>
    <row r="72" spans="1:29" hidden="1" x14ac:dyDescent="0.2">
      <c r="A72" s="18">
        <v>28</v>
      </c>
      <c r="B72" s="18" t="s">
        <v>335</v>
      </c>
      <c r="C72" s="18">
        <v>9999</v>
      </c>
      <c r="D72" s="18">
        <v>9999</v>
      </c>
      <c r="E72" s="18" t="s">
        <v>303</v>
      </c>
      <c r="F72" s="20">
        <v>9999</v>
      </c>
      <c r="G72" s="19" t="s">
        <v>404</v>
      </c>
      <c r="H72" s="23" t="s">
        <v>305</v>
      </c>
      <c r="I72" s="18" t="s">
        <v>86</v>
      </c>
      <c r="J72" s="23" t="s">
        <v>350</v>
      </c>
      <c r="K72" s="18">
        <v>270</v>
      </c>
      <c r="L72" s="18" t="s">
        <v>86</v>
      </c>
      <c r="M72" s="18">
        <v>100</v>
      </c>
      <c r="N72" s="18" t="s">
        <v>86</v>
      </c>
      <c r="O72" s="18" t="s">
        <v>86</v>
      </c>
      <c r="P72" s="18" t="s">
        <v>86</v>
      </c>
      <c r="Q72" s="18" t="s">
        <v>326</v>
      </c>
      <c r="R72" s="21" t="s">
        <v>572</v>
      </c>
      <c r="S72" s="20">
        <v>9999</v>
      </c>
      <c r="T72" s="20">
        <v>9999</v>
      </c>
      <c r="U72" s="18" t="s">
        <v>567</v>
      </c>
      <c r="V72" s="18" t="s">
        <v>329</v>
      </c>
      <c r="W72" s="18" t="s">
        <v>573</v>
      </c>
      <c r="X72" s="25">
        <v>43600</v>
      </c>
      <c r="Y72" s="23" t="s">
        <v>359</v>
      </c>
      <c r="Z72" s="23" t="s">
        <v>332</v>
      </c>
      <c r="AA72" s="23" t="s">
        <v>573</v>
      </c>
      <c r="AB72" s="27" t="s">
        <v>569</v>
      </c>
      <c r="AC72" s="18" t="s">
        <v>408</v>
      </c>
    </row>
    <row r="73" spans="1:29" hidden="1" x14ac:dyDescent="0.2">
      <c r="A73" s="18">
        <v>82</v>
      </c>
      <c r="B73" s="18" t="s">
        <v>335</v>
      </c>
      <c r="C73" s="18">
        <v>9999</v>
      </c>
      <c r="D73" s="18">
        <v>9999</v>
      </c>
      <c r="E73" s="18" t="s">
        <v>322</v>
      </c>
      <c r="F73" s="20">
        <v>9999</v>
      </c>
      <c r="G73" s="19" t="s">
        <v>459</v>
      </c>
      <c r="H73" s="19" t="s">
        <v>460</v>
      </c>
      <c r="I73" s="19" t="s">
        <v>404</v>
      </c>
      <c r="J73" s="23" t="s">
        <v>461</v>
      </c>
      <c r="K73" s="18">
        <v>12.5</v>
      </c>
      <c r="L73" s="18" t="s">
        <v>86</v>
      </c>
      <c r="M73" s="18">
        <v>250</v>
      </c>
      <c r="N73" s="18" t="s">
        <v>86</v>
      </c>
      <c r="O73" s="18">
        <v>76.5</v>
      </c>
      <c r="P73" s="18" t="s">
        <v>86</v>
      </c>
      <c r="Q73" s="18" t="s">
        <v>326</v>
      </c>
      <c r="R73" s="23" t="s">
        <v>574</v>
      </c>
      <c r="S73" s="20">
        <v>9999</v>
      </c>
      <c r="T73" s="20">
        <v>9999</v>
      </c>
      <c r="U73" s="18" t="s">
        <v>567</v>
      </c>
      <c r="V73" s="18" t="s">
        <v>329</v>
      </c>
      <c r="W73" s="18" t="s">
        <v>575</v>
      </c>
      <c r="X73" s="25">
        <v>44869</v>
      </c>
      <c r="Y73" s="23" t="s">
        <v>464</v>
      </c>
      <c r="Z73" s="23" t="s">
        <v>332</v>
      </c>
      <c r="AA73" s="23" t="s">
        <v>575</v>
      </c>
      <c r="AB73" s="27" t="s">
        <v>576</v>
      </c>
      <c r="AC73" s="18" t="s">
        <v>466</v>
      </c>
    </row>
    <row r="74" spans="1:29" hidden="1" x14ac:dyDescent="0.2">
      <c r="A74" s="18">
        <v>83</v>
      </c>
      <c r="B74" s="18" t="s">
        <v>335</v>
      </c>
      <c r="C74" s="18">
        <v>9999</v>
      </c>
      <c r="D74" s="18">
        <v>9999</v>
      </c>
      <c r="E74" s="18" t="s">
        <v>322</v>
      </c>
      <c r="F74" s="20">
        <v>9999</v>
      </c>
      <c r="G74" s="19" t="s">
        <v>459</v>
      </c>
      <c r="H74" s="19" t="s">
        <v>460</v>
      </c>
      <c r="I74" s="19" t="s">
        <v>404</v>
      </c>
      <c r="J74" s="23" t="s">
        <v>461</v>
      </c>
      <c r="K74" s="18">
        <v>25</v>
      </c>
      <c r="L74" s="18" t="s">
        <v>86</v>
      </c>
      <c r="M74" s="18">
        <v>500</v>
      </c>
      <c r="N74" s="18" t="s">
        <v>86</v>
      </c>
      <c r="O74" s="18">
        <v>153</v>
      </c>
      <c r="P74" s="18" t="s">
        <v>86</v>
      </c>
      <c r="Q74" s="18" t="s">
        <v>326</v>
      </c>
      <c r="R74" s="23" t="s">
        <v>574</v>
      </c>
      <c r="S74" s="20">
        <v>9999</v>
      </c>
      <c r="T74" s="20">
        <v>9999</v>
      </c>
      <c r="U74" s="18" t="s">
        <v>567</v>
      </c>
      <c r="V74" s="18" t="s">
        <v>329</v>
      </c>
      <c r="W74" s="18" t="s">
        <v>577</v>
      </c>
      <c r="X74" s="25">
        <v>44869</v>
      </c>
      <c r="Y74" s="23" t="s">
        <v>472</v>
      </c>
      <c r="Z74" s="23" t="s">
        <v>332</v>
      </c>
      <c r="AA74" s="23" t="s">
        <v>577</v>
      </c>
      <c r="AB74" s="27" t="s">
        <v>576</v>
      </c>
      <c r="AC74" s="18" t="s">
        <v>466</v>
      </c>
    </row>
    <row r="75" spans="1:29" hidden="1" x14ac:dyDescent="0.2">
      <c r="A75" s="18">
        <v>2</v>
      </c>
      <c r="B75" s="18" t="s">
        <v>335</v>
      </c>
      <c r="C75" s="18">
        <v>9999</v>
      </c>
      <c r="D75" s="18">
        <v>9999</v>
      </c>
      <c r="E75" s="18" t="s">
        <v>473</v>
      </c>
      <c r="F75" s="20">
        <v>9999</v>
      </c>
      <c r="G75" s="18" t="s">
        <v>418</v>
      </c>
      <c r="H75" s="20">
        <v>9888</v>
      </c>
      <c r="I75" s="20">
        <v>9888</v>
      </c>
      <c r="J75" s="20" t="s">
        <v>305</v>
      </c>
      <c r="K75" s="18">
        <v>60</v>
      </c>
      <c r="M75" s="18">
        <v>50</v>
      </c>
      <c r="N75" s="18">
        <v>1</v>
      </c>
      <c r="O75" s="18">
        <v>9</v>
      </c>
      <c r="P75" s="18">
        <v>1</v>
      </c>
      <c r="Q75" s="18" t="s">
        <v>477</v>
      </c>
      <c r="R75" s="21" t="s">
        <v>578</v>
      </c>
      <c r="S75" s="20">
        <v>9999</v>
      </c>
      <c r="T75" s="20">
        <v>9999</v>
      </c>
      <c r="U75" s="18" t="s">
        <v>567</v>
      </c>
      <c r="V75" s="18" t="s">
        <v>329</v>
      </c>
      <c r="W75" s="18" t="s">
        <v>579</v>
      </c>
      <c r="X75" s="25">
        <v>44299</v>
      </c>
      <c r="Y75" s="23" t="s">
        <v>489</v>
      </c>
      <c r="Z75" s="23" t="s">
        <v>332</v>
      </c>
      <c r="AA75" s="23" t="s">
        <v>579</v>
      </c>
      <c r="AB75" s="27" t="s">
        <v>580</v>
      </c>
      <c r="AC75" s="20" t="s">
        <v>480</v>
      </c>
    </row>
    <row r="76" spans="1:29" hidden="1" x14ac:dyDescent="0.2">
      <c r="A76" s="18">
        <v>192</v>
      </c>
      <c r="B76" s="18" t="s">
        <v>302</v>
      </c>
      <c r="C76" s="18">
        <v>9999</v>
      </c>
      <c r="D76" s="18">
        <v>9999</v>
      </c>
      <c r="E76" s="23" t="s">
        <v>303</v>
      </c>
      <c r="F76" s="20">
        <v>9999</v>
      </c>
      <c r="G76" s="23" t="s">
        <v>581</v>
      </c>
      <c r="H76" s="18" t="s">
        <v>86</v>
      </c>
      <c r="I76" s="18" t="s">
        <v>86</v>
      </c>
      <c r="J76" s="23" t="s">
        <v>581</v>
      </c>
      <c r="K76" s="24">
        <v>15</v>
      </c>
      <c r="L76" s="22" t="s">
        <v>86</v>
      </c>
      <c r="M76" s="22" t="s">
        <v>86</v>
      </c>
      <c r="N76" s="22" t="s">
        <v>86</v>
      </c>
      <c r="O76" s="22" t="s">
        <v>86</v>
      </c>
      <c r="P76" s="22" t="s">
        <v>86</v>
      </c>
      <c r="Q76" s="23" t="s">
        <v>582</v>
      </c>
      <c r="R76" s="23" t="s">
        <v>583</v>
      </c>
      <c r="S76" s="20">
        <v>9999</v>
      </c>
      <c r="T76" s="20">
        <v>9999</v>
      </c>
      <c r="U76" s="18" t="s">
        <v>567</v>
      </c>
      <c r="V76" s="18" t="s">
        <v>329</v>
      </c>
      <c r="Y76" s="23" t="s">
        <v>584</v>
      </c>
      <c r="Z76" s="23" t="s">
        <v>585</v>
      </c>
      <c r="AA76" s="18" t="s">
        <v>86</v>
      </c>
      <c r="AB76" s="27" t="s">
        <v>586</v>
      </c>
      <c r="AC76" s="23" t="s">
        <v>581</v>
      </c>
    </row>
    <row r="77" spans="1:29" hidden="1" x14ac:dyDescent="0.2">
      <c r="A77" s="18">
        <v>75</v>
      </c>
      <c r="B77" s="18" t="s">
        <v>335</v>
      </c>
      <c r="C77" s="18">
        <v>9999</v>
      </c>
      <c r="D77" s="18">
        <v>9999</v>
      </c>
      <c r="E77" s="18" t="s">
        <v>322</v>
      </c>
      <c r="F77" s="20">
        <v>9999</v>
      </c>
      <c r="G77" s="19" t="s">
        <v>459</v>
      </c>
      <c r="H77" s="19" t="s">
        <v>460</v>
      </c>
      <c r="I77" s="18" t="s">
        <v>86</v>
      </c>
      <c r="J77" s="18" t="s">
        <v>523</v>
      </c>
      <c r="K77" s="18">
        <v>12.5</v>
      </c>
      <c r="L77" s="18" t="s">
        <v>86</v>
      </c>
      <c r="M77" s="18">
        <v>250</v>
      </c>
      <c r="N77" s="18" t="s">
        <v>86</v>
      </c>
      <c r="O77" s="18" t="s">
        <v>86</v>
      </c>
      <c r="P77" s="18" t="s">
        <v>86</v>
      </c>
      <c r="Q77" s="18" t="s">
        <v>326</v>
      </c>
      <c r="R77" s="21" t="s">
        <v>587</v>
      </c>
      <c r="S77" s="20">
        <v>9999</v>
      </c>
      <c r="T77" s="20">
        <v>9999</v>
      </c>
      <c r="U77" s="18" t="s">
        <v>567</v>
      </c>
      <c r="V77" s="18" t="s">
        <v>329</v>
      </c>
      <c r="W77" s="18" t="s">
        <v>588</v>
      </c>
      <c r="X77" s="25">
        <v>44378</v>
      </c>
      <c r="Y77" s="23" t="s">
        <v>526</v>
      </c>
      <c r="Z77" s="23" t="s">
        <v>332</v>
      </c>
      <c r="AA77" s="23" t="s">
        <v>588</v>
      </c>
      <c r="AB77" s="27" t="s">
        <v>589</v>
      </c>
      <c r="AC77" s="18" t="s">
        <v>534</v>
      </c>
    </row>
    <row r="78" spans="1:29" hidden="1" x14ac:dyDescent="0.2">
      <c r="A78" s="18">
        <v>74</v>
      </c>
      <c r="B78" s="18" t="s">
        <v>335</v>
      </c>
      <c r="C78" s="18">
        <v>9999</v>
      </c>
      <c r="D78" s="18">
        <v>9999</v>
      </c>
      <c r="E78" s="18" t="s">
        <v>322</v>
      </c>
      <c r="F78" s="20">
        <v>9999</v>
      </c>
      <c r="G78" s="19" t="s">
        <v>459</v>
      </c>
      <c r="H78" s="19" t="s">
        <v>460</v>
      </c>
      <c r="I78" s="18" t="s">
        <v>86</v>
      </c>
      <c r="J78" s="18" t="s">
        <v>523</v>
      </c>
      <c r="K78" s="18">
        <v>25</v>
      </c>
      <c r="L78" s="18" t="s">
        <v>86</v>
      </c>
      <c r="M78" s="18">
        <v>500</v>
      </c>
      <c r="N78" s="18" t="s">
        <v>86</v>
      </c>
      <c r="O78" s="18" t="s">
        <v>86</v>
      </c>
      <c r="P78" s="18" t="s">
        <v>86</v>
      </c>
      <c r="Q78" s="18" t="s">
        <v>326</v>
      </c>
      <c r="R78" s="21" t="s">
        <v>590</v>
      </c>
      <c r="S78" s="20">
        <v>9999</v>
      </c>
      <c r="T78" s="20">
        <v>9999</v>
      </c>
      <c r="U78" s="18" t="s">
        <v>567</v>
      </c>
      <c r="V78" s="18" t="s">
        <v>329</v>
      </c>
      <c r="W78" s="18" t="s">
        <v>591</v>
      </c>
      <c r="X78" s="25">
        <v>44378</v>
      </c>
      <c r="Y78" s="23" t="s">
        <v>421</v>
      </c>
      <c r="Z78" s="23" t="s">
        <v>332</v>
      </c>
      <c r="AA78" s="23" t="s">
        <v>591</v>
      </c>
      <c r="AB78" s="27" t="s">
        <v>589</v>
      </c>
      <c r="AC78" s="18" t="s">
        <v>534</v>
      </c>
    </row>
    <row r="79" spans="1:29" hidden="1" x14ac:dyDescent="0.2">
      <c r="A79" s="18">
        <v>35</v>
      </c>
      <c r="B79" s="18" t="s">
        <v>149</v>
      </c>
      <c r="C79" s="18">
        <v>9999</v>
      </c>
      <c r="D79" s="18">
        <v>9999</v>
      </c>
      <c r="E79" s="18" t="s">
        <v>303</v>
      </c>
      <c r="F79" s="20">
        <v>9999</v>
      </c>
      <c r="G79" s="18" t="s">
        <v>323</v>
      </c>
      <c r="H79" s="18" t="s">
        <v>324</v>
      </c>
      <c r="I79" s="18" t="s">
        <v>86</v>
      </c>
      <c r="J79" s="23" t="s">
        <v>325</v>
      </c>
      <c r="K79" s="18">
        <v>20</v>
      </c>
      <c r="L79" s="18" t="s">
        <v>86</v>
      </c>
      <c r="M79" s="18">
        <v>120</v>
      </c>
      <c r="N79" s="18" t="s">
        <v>86</v>
      </c>
      <c r="O79" s="18" t="s">
        <v>86</v>
      </c>
      <c r="P79" s="18" t="s">
        <v>86</v>
      </c>
      <c r="Q79" s="18" t="s">
        <v>326</v>
      </c>
      <c r="R79" s="21" t="s">
        <v>592</v>
      </c>
      <c r="S79" s="20">
        <v>9999</v>
      </c>
      <c r="T79" s="20">
        <v>9999</v>
      </c>
      <c r="U79" s="18" t="s">
        <v>593</v>
      </c>
      <c r="V79" s="18" t="s">
        <v>329</v>
      </c>
      <c r="W79" s="18" t="s">
        <v>594</v>
      </c>
      <c r="X79" s="25">
        <v>41568</v>
      </c>
      <c r="Y79" s="23" t="s">
        <v>331</v>
      </c>
      <c r="Z79" s="23" t="s">
        <v>332</v>
      </c>
      <c r="AA79" s="23" t="s">
        <v>314</v>
      </c>
      <c r="AB79" s="27" t="s">
        <v>595</v>
      </c>
      <c r="AC79" s="18" t="s">
        <v>334</v>
      </c>
    </row>
    <row r="80" spans="1:29" hidden="1" x14ac:dyDescent="0.2">
      <c r="A80" s="18">
        <v>31</v>
      </c>
      <c r="B80" s="18" t="s">
        <v>335</v>
      </c>
      <c r="C80" s="18">
        <v>9999</v>
      </c>
      <c r="D80" s="18">
        <v>9999</v>
      </c>
      <c r="E80" s="18" t="s">
        <v>322</v>
      </c>
      <c r="F80" s="20">
        <v>9999</v>
      </c>
      <c r="G80" s="18" t="s">
        <v>323</v>
      </c>
      <c r="H80" s="18" t="s">
        <v>324</v>
      </c>
      <c r="I80" s="18" t="s">
        <v>86</v>
      </c>
      <c r="J80" s="23" t="s">
        <v>325</v>
      </c>
      <c r="K80" s="18">
        <v>20</v>
      </c>
      <c r="L80" s="18" t="s">
        <v>86</v>
      </c>
      <c r="M80" s="18">
        <v>120</v>
      </c>
      <c r="N80" s="18" t="s">
        <v>86</v>
      </c>
      <c r="O80" s="18" t="s">
        <v>86</v>
      </c>
      <c r="P80" s="18" t="s">
        <v>86</v>
      </c>
      <c r="Q80" s="18" t="s">
        <v>326</v>
      </c>
      <c r="R80" s="21" t="s">
        <v>596</v>
      </c>
      <c r="S80" s="20">
        <v>9999</v>
      </c>
      <c r="T80" s="20">
        <v>9999</v>
      </c>
      <c r="U80" s="18" t="s">
        <v>593</v>
      </c>
      <c r="V80" s="18" t="s">
        <v>329</v>
      </c>
      <c r="W80" s="18" t="s">
        <v>597</v>
      </c>
      <c r="X80" s="25">
        <v>43699</v>
      </c>
      <c r="Y80" s="23" t="s">
        <v>339</v>
      </c>
      <c r="Z80" s="23" t="s">
        <v>332</v>
      </c>
      <c r="AA80" s="23" t="s">
        <v>597</v>
      </c>
      <c r="AB80" s="27" t="s">
        <v>598</v>
      </c>
      <c r="AC80" s="18" t="s">
        <v>334</v>
      </c>
    </row>
    <row r="81" spans="1:30" hidden="1" x14ac:dyDescent="0.2">
      <c r="A81" s="18">
        <v>36</v>
      </c>
      <c r="B81" s="18" t="s">
        <v>335</v>
      </c>
      <c r="C81" s="18">
        <v>9999</v>
      </c>
      <c r="D81" s="18">
        <v>9999</v>
      </c>
      <c r="E81" s="18" t="s">
        <v>303</v>
      </c>
      <c r="F81" s="20">
        <v>9999</v>
      </c>
      <c r="G81" s="18" t="s">
        <v>323</v>
      </c>
      <c r="H81" s="18" t="s">
        <v>324</v>
      </c>
      <c r="I81" s="18" t="s">
        <v>86</v>
      </c>
      <c r="J81" s="23" t="s">
        <v>325</v>
      </c>
      <c r="K81" s="18">
        <v>40</v>
      </c>
      <c r="L81" s="18" t="s">
        <v>86</v>
      </c>
      <c r="M81" s="18">
        <v>240</v>
      </c>
      <c r="N81" s="18" t="s">
        <v>86</v>
      </c>
      <c r="O81" s="18" t="s">
        <v>86</v>
      </c>
      <c r="P81" s="18" t="s">
        <v>86</v>
      </c>
      <c r="Q81" s="18" t="s">
        <v>326</v>
      </c>
      <c r="R81" s="21" t="s">
        <v>599</v>
      </c>
      <c r="S81" s="20">
        <v>9999</v>
      </c>
      <c r="T81" s="20">
        <v>9999</v>
      </c>
      <c r="U81" s="18" t="s">
        <v>593</v>
      </c>
      <c r="V81" s="18" t="s">
        <v>329</v>
      </c>
      <c r="W81" s="18" t="s">
        <v>600</v>
      </c>
      <c r="X81" s="25">
        <v>43699</v>
      </c>
      <c r="Y81" s="23" t="s">
        <v>343</v>
      </c>
      <c r="Z81" s="23" t="s">
        <v>332</v>
      </c>
      <c r="AA81" s="23" t="s">
        <v>600</v>
      </c>
      <c r="AB81" s="27" t="s">
        <v>601</v>
      </c>
      <c r="AC81" s="18" t="s">
        <v>334</v>
      </c>
    </row>
    <row r="82" spans="1:30" hidden="1" x14ac:dyDescent="0.2">
      <c r="A82" s="18">
        <v>37</v>
      </c>
      <c r="B82" s="18" t="s">
        <v>335</v>
      </c>
      <c r="C82" s="18">
        <v>9999</v>
      </c>
      <c r="D82" s="18">
        <v>9999</v>
      </c>
      <c r="E82" s="18" t="s">
        <v>303</v>
      </c>
      <c r="F82" s="20">
        <v>9999</v>
      </c>
      <c r="G82" s="18" t="s">
        <v>323</v>
      </c>
      <c r="H82" s="18" t="s">
        <v>324</v>
      </c>
      <c r="I82" s="18" t="s">
        <v>86</v>
      </c>
      <c r="J82" s="23" t="s">
        <v>325</v>
      </c>
      <c r="K82" s="18">
        <v>80</v>
      </c>
      <c r="L82" s="18" t="s">
        <v>86</v>
      </c>
      <c r="M82" s="18">
        <v>480</v>
      </c>
      <c r="N82" s="18" t="s">
        <v>86</v>
      </c>
      <c r="O82" s="18" t="s">
        <v>86</v>
      </c>
      <c r="P82" s="18" t="s">
        <v>86</v>
      </c>
      <c r="Q82" s="18" t="s">
        <v>326</v>
      </c>
      <c r="R82" s="21" t="s">
        <v>602</v>
      </c>
      <c r="S82" s="20">
        <v>9999</v>
      </c>
      <c r="T82" s="20">
        <v>9999</v>
      </c>
      <c r="U82" s="18" t="s">
        <v>593</v>
      </c>
      <c r="V82" s="18" t="s">
        <v>329</v>
      </c>
      <c r="W82" s="18" t="s">
        <v>603</v>
      </c>
      <c r="X82" s="25">
        <v>43699</v>
      </c>
      <c r="Y82" s="23" t="s">
        <v>348</v>
      </c>
      <c r="Z82" s="23" t="s">
        <v>332</v>
      </c>
      <c r="AA82" s="23" t="s">
        <v>603</v>
      </c>
      <c r="AB82" s="27" t="s">
        <v>598</v>
      </c>
      <c r="AC82" s="18" t="s">
        <v>334</v>
      </c>
    </row>
    <row r="83" spans="1:30" hidden="1" x14ac:dyDescent="0.2">
      <c r="A83" s="18">
        <v>24</v>
      </c>
      <c r="B83" s="18" t="s">
        <v>335</v>
      </c>
      <c r="C83" s="18">
        <v>9999</v>
      </c>
      <c r="D83" s="18">
        <v>9999</v>
      </c>
      <c r="E83" s="18" t="s">
        <v>303</v>
      </c>
      <c r="F83" s="20">
        <v>9999</v>
      </c>
      <c r="G83" s="19" t="s">
        <v>404</v>
      </c>
      <c r="H83" s="23" t="s">
        <v>305</v>
      </c>
      <c r="I83" s="18" t="s">
        <v>86</v>
      </c>
      <c r="J83" s="23" t="s">
        <v>350</v>
      </c>
      <c r="K83" s="18">
        <v>67.5</v>
      </c>
      <c r="L83" s="18" t="s">
        <v>86</v>
      </c>
      <c r="M83" s="18">
        <v>25</v>
      </c>
      <c r="N83" s="18" t="s">
        <v>86</v>
      </c>
      <c r="O83" s="18" t="s">
        <v>86</v>
      </c>
      <c r="P83" s="18" t="s">
        <v>86</v>
      </c>
      <c r="Q83" s="18" t="s">
        <v>326</v>
      </c>
      <c r="R83" s="21" t="s">
        <v>604</v>
      </c>
      <c r="S83" s="20">
        <v>9999</v>
      </c>
      <c r="T83" s="20">
        <v>9999</v>
      </c>
      <c r="U83" s="18" t="s">
        <v>605</v>
      </c>
      <c r="V83" s="18" t="s">
        <v>329</v>
      </c>
      <c r="W83" s="18" t="s">
        <v>606</v>
      </c>
      <c r="X83" s="25">
        <v>43404</v>
      </c>
      <c r="Y83" s="23" t="s">
        <v>353</v>
      </c>
      <c r="Z83" s="23" t="s">
        <v>332</v>
      </c>
      <c r="AA83" s="23" t="s">
        <v>606</v>
      </c>
      <c r="AB83" s="27" t="s">
        <v>607</v>
      </c>
      <c r="AC83" s="18" t="s">
        <v>408</v>
      </c>
    </row>
    <row r="84" spans="1:30" hidden="1" x14ac:dyDescent="0.2">
      <c r="A84" s="18">
        <v>25</v>
      </c>
      <c r="B84" s="18" t="s">
        <v>335</v>
      </c>
      <c r="C84" s="18">
        <v>9999</v>
      </c>
      <c r="D84" s="18">
        <v>9999</v>
      </c>
      <c r="E84" s="18" t="s">
        <v>303</v>
      </c>
      <c r="F84" s="20">
        <v>9999</v>
      </c>
      <c r="G84" s="19" t="s">
        <v>404</v>
      </c>
      <c r="H84" s="23" t="s">
        <v>305</v>
      </c>
      <c r="I84" s="18" t="s">
        <v>86</v>
      </c>
      <c r="J84" s="23" t="s">
        <v>350</v>
      </c>
      <c r="K84" s="18">
        <v>135</v>
      </c>
      <c r="L84" s="18" t="s">
        <v>86</v>
      </c>
      <c r="M84" s="18">
        <v>50</v>
      </c>
      <c r="N84" s="18" t="s">
        <v>86</v>
      </c>
      <c r="O84" s="18" t="s">
        <v>86</v>
      </c>
      <c r="P84" s="18" t="s">
        <v>86</v>
      </c>
      <c r="Q84" s="18" t="s">
        <v>326</v>
      </c>
      <c r="R84" s="21" t="s">
        <v>604</v>
      </c>
      <c r="S84" s="20">
        <v>9999</v>
      </c>
      <c r="T84" s="20">
        <v>9999</v>
      </c>
      <c r="U84" s="18" t="s">
        <v>605</v>
      </c>
      <c r="V84" s="18" t="s">
        <v>329</v>
      </c>
      <c r="W84" s="18" t="s">
        <v>608</v>
      </c>
      <c r="X84" s="25">
        <v>43404</v>
      </c>
      <c r="Y84" s="23" t="s">
        <v>357</v>
      </c>
      <c r="Z84" s="23" t="s">
        <v>332</v>
      </c>
      <c r="AA84" s="23" t="s">
        <v>608</v>
      </c>
      <c r="AB84" s="27" t="s">
        <v>607</v>
      </c>
      <c r="AC84" s="18" t="s">
        <v>408</v>
      </c>
    </row>
    <row r="85" spans="1:30" hidden="1" x14ac:dyDescent="0.2">
      <c r="A85" s="18">
        <v>23</v>
      </c>
      <c r="B85" s="18" t="s">
        <v>149</v>
      </c>
      <c r="C85" s="18">
        <v>9999</v>
      </c>
      <c r="D85" s="18">
        <v>9999</v>
      </c>
      <c r="E85" s="18" t="s">
        <v>303</v>
      </c>
      <c r="F85" s="20">
        <v>9999</v>
      </c>
      <c r="G85" s="19" t="s">
        <v>404</v>
      </c>
      <c r="H85" s="23" t="s">
        <v>305</v>
      </c>
      <c r="I85" s="18" t="s">
        <v>86</v>
      </c>
      <c r="J85" s="23" t="s">
        <v>350</v>
      </c>
      <c r="K85" s="18">
        <v>270</v>
      </c>
      <c r="L85" s="18" t="s">
        <v>86</v>
      </c>
      <c r="M85" s="18">
        <v>100</v>
      </c>
      <c r="N85" s="18" t="s">
        <v>86</v>
      </c>
      <c r="O85" s="18" t="s">
        <v>86</v>
      </c>
      <c r="P85" s="18" t="s">
        <v>86</v>
      </c>
      <c r="Q85" s="18" t="s">
        <v>326</v>
      </c>
      <c r="R85" s="21" t="s">
        <v>609</v>
      </c>
      <c r="S85" s="20" t="s">
        <v>337</v>
      </c>
      <c r="T85" s="20" t="s">
        <v>352</v>
      </c>
      <c r="U85" s="18" t="s">
        <v>605</v>
      </c>
      <c r="V85" s="18" t="s">
        <v>329</v>
      </c>
      <c r="W85" s="18" t="s">
        <v>610</v>
      </c>
      <c r="X85" s="25">
        <v>43404</v>
      </c>
      <c r="AC85" s="18" t="s">
        <v>408</v>
      </c>
    </row>
    <row r="86" spans="1:30" hidden="1" x14ac:dyDescent="0.2">
      <c r="A86" s="18">
        <v>32</v>
      </c>
      <c r="B86" s="18" t="s">
        <v>335</v>
      </c>
      <c r="C86" s="18">
        <v>9999</v>
      </c>
      <c r="D86" s="18">
        <v>9999</v>
      </c>
      <c r="E86" s="18" t="s">
        <v>303</v>
      </c>
      <c r="F86" s="20">
        <v>9999</v>
      </c>
      <c r="G86" s="18" t="s">
        <v>323</v>
      </c>
      <c r="H86" s="18" t="s">
        <v>324</v>
      </c>
      <c r="I86" s="18" t="s">
        <v>86</v>
      </c>
      <c r="J86" s="23" t="s">
        <v>325</v>
      </c>
      <c r="K86" s="18">
        <v>20</v>
      </c>
      <c r="L86" s="18" t="s">
        <v>86</v>
      </c>
      <c r="M86" s="18">
        <v>120</v>
      </c>
      <c r="N86" s="18" t="s">
        <v>86</v>
      </c>
      <c r="O86" s="18" t="s">
        <v>86</v>
      </c>
      <c r="P86" s="18" t="s">
        <v>86</v>
      </c>
      <c r="Q86" s="18" t="s">
        <v>326</v>
      </c>
      <c r="R86" s="21" t="s">
        <v>611</v>
      </c>
      <c r="S86" s="20" t="s">
        <v>337</v>
      </c>
      <c r="T86" s="20">
        <v>9999</v>
      </c>
      <c r="U86" s="18" t="s">
        <v>612</v>
      </c>
      <c r="V86" s="18" t="s">
        <v>329</v>
      </c>
      <c r="W86" s="18" t="s">
        <v>613</v>
      </c>
      <c r="X86" s="25">
        <v>41775</v>
      </c>
      <c r="Y86" s="23" t="s">
        <v>331</v>
      </c>
      <c r="Z86" s="23" t="s">
        <v>332</v>
      </c>
      <c r="AA86" s="23" t="s">
        <v>613</v>
      </c>
      <c r="AB86" s="27" t="s">
        <v>614</v>
      </c>
      <c r="AC86" s="18" t="s">
        <v>334</v>
      </c>
    </row>
    <row r="87" spans="1:30" hidden="1" x14ac:dyDescent="0.2">
      <c r="A87" s="18">
        <v>29</v>
      </c>
      <c r="B87" s="18" t="s">
        <v>335</v>
      </c>
      <c r="C87" s="18">
        <v>9999</v>
      </c>
      <c r="D87" s="18">
        <v>9999</v>
      </c>
      <c r="E87" s="18" t="s">
        <v>303</v>
      </c>
      <c r="F87" s="20">
        <v>9999</v>
      </c>
      <c r="G87" s="18" t="s">
        <v>323</v>
      </c>
      <c r="H87" s="18" t="s">
        <v>324</v>
      </c>
      <c r="I87" s="18" t="s">
        <v>86</v>
      </c>
      <c r="J87" s="23" t="s">
        <v>325</v>
      </c>
      <c r="K87" s="18">
        <v>40</v>
      </c>
      <c r="L87" s="18" t="s">
        <v>86</v>
      </c>
      <c r="M87" s="18">
        <v>240</v>
      </c>
      <c r="N87" s="18" t="s">
        <v>86</v>
      </c>
      <c r="O87" s="18" t="s">
        <v>86</v>
      </c>
      <c r="P87" s="18" t="s">
        <v>86</v>
      </c>
      <c r="Q87" s="18" t="s">
        <v>326</v>
      </c>
      <c r="R87" s="23" t="s">
        <v>615</v>
      </c>
      <c r="S87" s="20" t="s">
        <v>337</v>
      </c>
      <c r="T87" s="20">
        <v>9999</v>
      </c>
      <c r="U87" s="18" t="s">
        <v>612</v>
      </c>
      <c r="V87" s="18" t="s">
        <v>329</v>
      </c>
      <c r="W87" s="18" t="s">
        <v>616</v>
      </c>
      <c r="X87" s="25">
        <v>41775</v>
      </c>
      <c r="Y87" s="23" t="s">
        <v>343</v>
      </c>
      <c r="Z87" s="23" t="s">
        <v>332</v>
      </c>
      <c r="AA87" s="23" t="s">
        <v>616</v>
      </c>
      <c r="AB87" s="27" t="s">
        <v>617</v>
      </c>
      <c r="AC87" s="18" t="s">
        <v>334</v>
      </c>
    </row>
    <row r="88" spans="1:30" hidden="1" x14ac:dyDescent="0.2">
      <c r="A88" s="18">
        <v>95</v>
      </c>
      <c r="B88" s="18" t="s">
        <v>302</v>
      </c>
      <c r="C88" s="18">
        <v>9999</v>
      </c>
      <c r="D88" s="18">
        <v>9999</v>
      </c>
      <c r="E88" s="23" t="s">
        <v>303</v>
      </c>
      <c r="F88" s="20">
        <v>9999</v>
      </c>
      <c r="G88" s="23" t="s">
        <v>618</v>
      </c>
      <c r="H88" s="18" t="s">
        <v>619</v>
      </c>
      <c r="I88" s="18" t="s">
        <v>86</v>
      </c>
      <c r="J88" s="23" t="s">
        <v>325</v>
      </c>
      <c r="K88" s="24">
        <v>20</v>
      </c>
      <c r="L88" s="22" t="s">
        <v>86</v>
      </c>
      <c r="M88" s="22">
        <v>120</v>
      </c>
      <c r="N88" s="22" t="s">
        <v>86</v>
      </c>
      <c r="O88" s="22" t="s">
        <v>86</v>
      </c>
      <c r="P88" s="22" t="s">
        <v>86</v>
      </c>
      <c r="Q88" s="23" t="s">
        <v>318</v>
      </c>
      <c r="R88" s="23" t="s">
        <v>620</v>
      </c>
      <c r="S88" s="20" t="s">
        <v>337</v>
      </c>
      <c r="T88" s="20">
        <v>9999</v>
      </c>
      <c r="U88" s="18" t="s">
        <v>621</v>
      </c>
      <c r="V88" s="18" t="s">
        <v>622</v>
      </c>
      <c r="Y88" s="23" t="s">
        <v>331</v>
      </c>
      <c r="Z88" s="23" t="s">
        <v>623</v>
      </c>
      <c r="AA88" s="23" t="s">
        <v>314</v>
      </c>
      <c r="AB88" s="27" t="s">
        <v>624</v>
      </c>
      <c r="AC88" s="23" t="s">
        <v>625</v>
      </c>
    </row>
    <row r="89" spans="1:30" hidden="1" x14ac:dyDescent="0.2">
      <c r="A89" s="18">
        <v>102</v>
      </c>
      <c r="B89" s="18" t="s">
        <v>302</v>
      </c>
      <c r="C89" s="18">
        <v>9999</v>
      </c>
      <c r="D89" s="18">
        <v>9999</v>
      </c>
      <c r="E89" s="23" t="s">
        <v>626</v>
      </c>
      <c r="F89" s="20">
        <v>9999</v>
      </c>
      <c r="G89" s="23" t="s">
        <v>618</v>
      </c>
      <c r="H89" s="18" t="s">
        <v>619</v>
      </c>
      <c r="I89" s="18" t="s">
        <v>86</v>
      </c>
      <c r="J89" s="23" t="s">
        <v>325</v>
      </c>
      <c r="K89" s="24">
        <v>20</v>
      </c>
      <c r="L89" s="22" t="s">
        <v>86</v>
      </c>
      <c r="M89" s="22">
        <v>120</v>
      </c>
      <c r="N89" s="22" t="s">
        <v>86</v>
      </c>
      <c r="O89" s="22" t="s">
        <v>86</v>
      </c>
      <c r="P89" s="22" t="s">
        <v>86</v>
      </c>
      <c r="Q89" s="23" t="s">
        <v>627</v>
      </c>
      <c r="R89" s="23" t="s">
        <v>628</v>
      </c>
      <c r="S89" s="20" t="s">
        <v>337</v>
      </c>
      <c r="T89" s="20">
        <v>9999</v>
      </c>
      <c r="U89" s="18" t="s">
        <v>621</v>
      </c>
      <c r="V89" s="18" t="s">
        <v>622</v>
      </c>
      <c r="Y89" s="23" t="s">
        <v>339</v>
      </c>
      <c r="Z89" s="23" t="s">
        <v>332</v>
      </c>
      <c r="AA89" s="23" t="s">
        <v>314</v>
      </c>
      <c r="AB89" s="27" t="s">
        <v>629</v>
      </c>
      <c r="AC89" s="23" t="s">
        <v>625</v>
      </c>
    </row>
    <row r="90" spans="1:30" hidden="1" x14ac:dyDescent="0.2">
      <c r="A90" s="18">
        <v>59</v>
      </c>
      <c r="B90" s="18" t="s">
        <v>149</v>
      </c>
      <c r="C90" s="18">
        <v>9999</v>
      </c>
      <c r="D90" s="18">
        <v>9999</v>
      </c>
      <c r="E90" s="18" t="s">
        <v>303</v>
      </c>
      <c r="F90" s="20">
        <v>9999</v>
      </c>
      <c r="G90" s="18" t="s">
        <v>323</v>
      </c>
      <c r="H90" s="18" t="s">
        <v>324</v>
      </c>
      <c r="I90" s="18" t="s">
        <v>86</v>
      </c>
      <c r="J90" s="23" t="s">
        <v>325</v>
      </c>
      <c r="K90" s="18">
        <v>80</v>
      </c>
      <c r="L90" s="18" t="s">
        <v>86</v>
      </c>
      <c r="M90" s="18">
        <v>480</v>
      </c>
      <c r="N90" s="18" t="s">
        <v>86</v>
      </c>
      <c r="O90" s="18" t="s">
        <v>86</v>
      </c>
      <c r="P90" s="18" t="s">
        <v>86</v>
      </c>
      <c r="Q90" s="18" t="s">
        <v>326</v>
      </c>
      <c r="R90" s="21" t="s">
        <v>399</v>
      </c>
      <c r="S90" s="20">
        <v>9999</v>
      </c>
      <c r="T90" s="20">
        <v>9999</v>
      </c>
      <c r="U90" s="18" t="s">
        <v>621</v>
      </c>
      <c r="V90" s="18" t="s">
        <v>630</v>
      </c>
      <c r="W90" s="18" t="s">
        <v>631</v>
      </c>
      <c r="X90" s="25">
        <v>42200</v>
      </c>
      <c r="Y90" s="23" t="s">
        <v>348</v>
      </c>
      <c r="Z90" s="23" t="s">
        <v>332</v>
      </c>
      <c r="AA90" s="23" t="s">
        <v>314</v>
      </c>
      <c r="AB90" s="27" t="s">
        <v>632</v>
      </c>
      <c r="AC90" s="18" t="s">
        <v>334</v>
      </c>
    </row>
    <row r="91" spans="1:30" hidden="1" x14ac:dyDescent="0.2">
      <c r="A91" s="18">
        <v>40</v>
      </c>
      <c r="B91" s="18" t="s">
        <v>149</v>
      </c>
      <c r="C91" s="18">
        <v>9999</v>
      </c>
      <c r="D91" s="18">
        <v>9999</v>
      </c>
      <c r="E91" s="18" t="s">
        <v>303</v>
      </c>
      <c r="F91" s="20">
        <v>9999</v>
      </c>
      <c r="G91" s="18" t="s">
        <v>323</v>
      </c>
      <c r="H91" s="18" t="s">
        <v>324</v>
      </c>
      <c r="I91" s="18" t="s">
        <v>86</v>
      </c>
      <c r="J91" s="23" t="s">
        <v>325</v>
      </c>
      <c r="K91" s="18">
        <v>20</v>
      </c>
      <c r="L91" s="18" t="s">
        <v>86</v>
      </c>
      <c r="M91" s="18">
        <v>120</v>
      </c>
      <c r="N91" s="18" t="s">
        <v>86</v>
      </c>
      <c r="O91" s="18" t="s">
        <v>86</v>
      </c>
      <c r="P91" s="18" t="s">
        <v>86</v>
      </c>
      <c r="Q91" s="18" t="s">
        <v>326</v>
      </c>
      <c r="R91" s="21" t="s">
        <v>633</v>
      </c>
      <c r="S91" s="20">
        <v>9999</v>
      </c>
      <c r="T91" s="20">
        <v>9999</v>
      </c>
      <c r="U91" s="18" t="s">
        <v>634</v>
      </c>
      <c r="V91" s="18" t="s">
        <v>635</v>
      </c>
      <c r="W91" s="18" t="s">
        <v>636</v>
      </c>
      <c r="X91" s="25">
        <v>38103</v>
      </c>
      <c r="AC91" s="18" t="s">
        <v>334</v>
      </c>
    </row>
    <row r="92" spans="1:30" hidden="1" x14ac:dyDescent="0.2">
      <c r="A92" s="18">
        <v>38</v>
      </c>
      <c r="B92" s="18" t="s">
        <v>149</v>
      </c>
      <c r="C92" s="18">
        <v>9999</v>
      </c>
      <c r="D92" s="18">
        <v>9999</v>
      </c>
      <c r="E92" s="18" t="s">
        <v>322</v>
      </c>
      <c r="F92" s="20">
        <v>9999</v>
      </c>
      <c r="G92" s="18" t="s">
        <v>323</v>
      </c>
      <c r="H92" s="18" t="s">
        <v>324</v>
      </c>
      <c r="I92" s="18" t="s">
        <v>86</v>
      </c>
      <c r="J92" s="23" t="s">
        <v>325</v>
      </c>
      <c r="K92" s="18">
        <v>20</v>
      </c>
      <c r="L92" s="18" t="s">
        <v>86</v>
      </c>
      <c r="M92" s="18">
        <v>120</v>
      </c>
      <c r="N92" s="18" t="s">
        <v>86</v>
      </c>
      <c r="O92" s="18" t="s">
        <v>86</v>
      </c>
      <c r="P92" s="18" t="s">
        <v>86</v>
      </c>
      <c r="Q92" s="18" t="s">
        <v>326</v>
      </c>
      <c r="R92" s="21" t="s">
        <v>637</v>
      </c>
      <c r="S92" s="20">
        <v>9999</v>
      </c>
      <c r="T92" s="20">
        <v>9999</v>
      </c>
      <c r="U92" s="18" t="s">
        <v>634</v>
      </c>
      <c r="V92" s="18" t="s">
        <v>635</v>
      </c>
      <c r="W92" s="18" t="s">
        <v>638</v>
      </c>
      <c r="X92" s="25">
        <v>39871</v>
      </c>
      <c r="AC92" s="18" t="s">
        <v>334</v>
      </c>
    </row>
    <row r="93" spans="1:30" hidden="1" x14ac:dyDescent="0.2">
      <c r="A93" s="18">
        <v>163</v>
      </c>
      <c r="B93" s="18" t="s">
        <v>302</v>
      </c>
      <c r="C93" s="18">
        <v>9999</v>
      </c>
      <c r="D93" s="18">
        <v>9999</v>
      </c>
      <c r="E93" s="23" t="s">
        <v>639</v>
      </c>
      <c r="F93" s="20">
        <v>9999</v>
      </c>
      <c r="G93" s="23" t="s">
        <v>384</v>
      </c>
      <c r="H93" s="18" t="s">
        <v>86</v>
      </c>
      <c r="I93" s="18" t="s">
        <v>86</v>
      </c>
      <c r="J93" s="23" t="s">
        <v>385</v>
      </c>
      <c r="K93" s="24" t="s">
        <v>640</v>
      </c>
      <c r="L93" s="22" t="s">
        <v>86</v>
      </c>
      <c r="M93" s="22" t="s">
        <v>86</v>
      </c>
      <c r="N93" s="22" t="s">
        <v>86</v>
      </c>
      <c r="O93" s="22" t="s">
        <v>86</v>
      </c>
      <c r="P93" s="22" t="s">
        <v>86</v>
      </c>
      <c r="Q93" s="23" t="s">
        <v>641</v>
      </c>
      <c r="R93" s="19" t="s">
        <v>642</v>
      </c>
      <c r="S93" s="20">
        <v>9999</v>
      </c>
      <c r="T93" s="20" t="s">
        <v>352</v>
      </c>
      <c r="U93" s="23" t="s">
        <v>643</v>
      </c>
      <c r="V93" s="23" t="s">
        <v>644</v>
      </c>
      <c r="Y93" s="23" t="s">
        <v>389</v>
      </c>
      <c r="Z93" s="23" t="s">
        <v>313</v>
      </c>
      <c r="AA93" s="23" t="s">
        <v>645</v>
      </c>
      <c r="AB93" s="27" t="s">
        <v>646</v>
      </c>
      <c r="AC93" s="23" t="s">
        <v>384</v>
      </c>
    </row>
    <row r="94" spans="1:30" hidden="1" x14ac:dyDescent="0.2">
      <c r="A94" s="18">
        <v>176</v>
      </c>
      <c r="B94" s="18" t="s">
        <v>302</v>
      </c>
      <c r="C94" s="18">
        <v>9999</v>
      </c>
      <c r="D94" s="18">
        <v>9999</v>
      </c>
      <c r="E94" s="23" t="s">
        <v>647</v>
      </c>
      <c r="F94" s="20">
        <v>9999</v>
      </c>
      <c r="G94" s="23" t="s">
        <v>581</v>
      </c>
      <c r="H94" s="18" t="s">
        <v>86</v>
      </c>
      <c r="I94" s="18" t="s">
        <v>86</v>
      </c>
      <c r="J94" s="23" t="s">
        <v>581</v>
      </c>
      <c r="K94" s="24" t="s">
        <v>648</v>
      </c>
      <c r="L94" s="22" t="s">
        <v>86</v>
      </c>
      <c r="M94" s="22" t="s">
        <v>86</v>
      </c>
      <c r="N94" s="22" t="s">
        <v>86</v>
      </c>
      <c r="O94" s="22" t="s">
        <v>86</v>
      </c>
      <c r="P94" s="22" t="s">
        <v>86</v>
      </c>
      <c r="Q94" s="23" t="s">
        <v>641</v>
      </c>
      <c r="R94" s="19" t="s">
        <v>649</v>
      </c>
      <c r="S94" s="20">
        <v>9999</v>
      </c>
      <c r="T94" s="20" t="s">
        <v>352</v>
      </c>
      <c r="U94" s="23" t="s">
        <v>643</v>
      </c>
      <c r="V94" s="23" t="s">
        <v>644</v>
      </c>
      <c r="Y94" s="23" t="s">
        <v>650</v>
      </c>
      <c r="Z94" s="23" t="s">
        <v>313</v>
      </c>
      <c r="AA94" s="23" t="s">
        <v>314</v>
      </c>
      <c r="AB94" s="27" t="s">
        <v>646</v>
      </c>
      <c r="AC94" s="23" t="s">
        <v>581</v>
      </c>
    </row>
    <row r="95" spans="1:30" hidden="1" x14ac:dyDescent="0.2">
      <c r="A95" s="18">
        <v>180</v>
      </c>
      <c r="B95" s="18" t="s">
        <v>302</v>
      </c>
      <c r="C95" s="18">
        <v>9999</v>
      </c>
      <c r="D95" s="18">
        <v>9999</v>
      </c>
      <c r="E95" s="23" t="s">
        <v>651</v>
      </c>
      <c r="F95" s="20">
        <v>9999</v>
      </c>
      <c r="G95" s="18" t="s">
        <v>652</v>
      </c>
      <c r="H95" s="18" t="s">
        <v>86</v>
      </c>
      <c r="I95" s="18" t="s">
        <v>86</v>
      </c>
      <c r="J95" s="23" t="s">
        <v>652</v>
      </c>
      <c r="K95" s="24">
        <v>300</v>
      </c>
      <c r="L95" s="22" t="s">
        <v>86</v>
      </c>
      <c r="M95" s="22"/>
      <c r="N95" s="22" t="s">
        <v>86</v>
      </c>
      <c r="O95" s="22" t="s">
        <v>86</v>
      </c>
      <c r="P95" s="22" t="s">
        <v>86</v>
      </c>
      <c r="Q95" s="23" t="s">
        <v>326</v>
      </c>
      <c r="R95" s="19" t="s">
        <v>653</v>
      </c>
      <c r="S95" s="20">
        <v>9999</v>
      </c>
      <c r="T95" s="20" t="s">
        <v>352</v>
      </c>
      <c r="U95" s="23" t="s">
        <v>643</v>
      </c>
      <c r="V95" s="23" t="s">
        <v>644</v>
      </c>
      <c r="Y95" s="23" t="s">
        <v>654</v>
      </c>
      <c r="Z95" s="23" t="s">
        <v>313</v>
      </c>
      <c r="AA95" s="23" t="s">
        <v>314</v>
      </c>
      <c r="AB95" s="27" t="s">
        <v>646</v>
      </c>
      <c r="AC95" s="23" t="s">
        <v>655</v>
      </c>
    </row>
    <row r="96" spans="1:30" hidden="1" x14ac:dyDescent="0.2">
      <c r="A96" s="18">
        <v>187</v>
      </c>
      <c r="B96" s="18" t="s">
        <v>302</v>
      </c>
      <c r="C96" s="18">
        <v>9999</v>
      </c>
      <c r="D96" s="18">
        <v>9999</v>
      </c>
      <c r="E96" s="23" t="s">
        <v>303</v>
      </c>
      <c r="F96" s="20">
        <v>9999</v>
      </c>
      <c r="G96" s="19" t="s">
        <v>459</v>
      </c>
      <c r="H96" s="19" t="s">
        <v>460</v>
      </c>
      <c r="I96" s="18" t="s">
        <v>86</v>
      </c>
      <c r="J96" s="23" t="s">
        <v>523</v>
      </c>
      <c r="K96" s="22">
        <v>25</v>
      </c>
      <c r="L96" s="22" t="s">
        <v>86</v>
      </c>
      <c r="M96" s="24">
        <v>500</v>
      </c>
      <c r="N96" s="22" t="s">
        <v>86</v>
      </c>
      <c r="O96" s="22" t="s">
        <v>86</v>
      </c>
      <c r="P96" s="22" t="s">
        <v>86</v>
      </c>
      <c r="Q96" s="23" t="s">
        <v>656</v>
      </c>
      <c r="R96" s="19" t="s">
        <v>657</v>
      </c>
      <c r="S96" s="20">
        <v>9999</v>
      </c>
      <c r="T96" s="20">
        <v>9999</v>
      </c>
      <c r="U96" s="23" t="s">
        <v>643</v>
      </c>
      <c r="V96" s="23" t="s">
        <v>644</v>
      </c>
      <c r="Y96" s="23" t="s">
        <v>421</v>
      </c>
      <c r="Z96" s="23" t="s">
        <v>313</v>
      </c>
      <c r="AA96" s="23" t="s">
        <v>314</v>
      </c>
      <c r="AB96" s="27" t="s">
        <v>646</v>
      </c>
      <c r="AC96" s="23" t="s">
        <v>529</v>
      </c>
      <c r="AD96" s="14" t="s">
        <v>530</v>
      </c>
    </row>
    <row r="97" spans="1:29" hidden="1" x14ac:dyDescent="0.2">
      <c r="A97" s="18">
        <v>179</v>
      </c>
      <c r="B97" s="18" t="s">
        <v>302</v>
      </c>
      <c r="C97" s="18">
        <v>9999</v>
      </c>
      <c r="D97" s="18">
        <v>9999</v>
      </c>
      <c r="E97" s="23" t="s">
        <v>658</v>
      </c>
      <c r="F97" s="20">
        <v>9999</v>
      </c>
      <c r="G97" s="18" t="s">
        <v>652</v>
      </c>
      <c r="H97" s="18" t="s">
        <v>86</v>
      </c>
      <c r="I97" s="18" t="s">
        <v>86</v>
      </c>
      <c r="J97" s="23" t="s">
        <v>652</v>
      </c>
      <c r="K97" s="24">
        <v>300</v>
      </c>
      <c r="L97" s="22">
        <v>1</v>
      </c>
      <c r="M97" s="22"/>
      <c r="N97" s="22" t="s">
        <v>86</v>
      </c>
      <c r="O97" s="22" t="s">
        <v>86</v>
      </c>
      <c r="P97" s="22" t="s">
        <v>86</v>
      </c>
      <c r="Q97" s="23" t="s">
        <v>659</v>
      </c>
      <c r="R97" s="23" t="s">
        <v>660</v>
      </c>
      <c r="S97" s="20">
        <v>9999</v>
      </c>
      <c r="T97" s="20" t="s">
        <v>352</v>
      </c>
      <c r="U97" s="23" t="s">
        <v>661</v>
      </c>
      <c r="V97" s="23" t="s">
        <v>662</v>
      </c>
      <c r="Y97" s="23" t="s">
        <v>663</v>
      </c>
      <c r="Z97" s="23" t="s">
        <v>313</v>
      </c>
      <c r="AA97" s="23" t="s">
        <v>664</v>
      </c>
      <c r="AB97" s="27" t="s">
        <v>665</v>
      </c>
      <c r="AC97" s="23" t="s">
        <v>666</v>
      </c>
    </row>
    <row r="98" spans="1:29" hidden="1" x14ac:dyDescent="0.2">
      <c r="A98" s="18">
        <v>165</v>
      </c>
      <c r="B98" s="18" t="s">
        <v>302</v>
      </c>
      <c r="C98" s="18">
        <v>9999</v>
      </c>
      <c r="D98" s="18">
        <v>9999</v>
      </c>
      <c r="E98" s="23" t="s">
        <v>303</v>
      </c>
      <c r="F98" s="20">
        <v>9999</v>
      </c>
      <c r="G98" s="23" t="s">
        <v>306</v>
      </c>
      <c r="H98" s="18" t="s">
        <v>86</v>
      </c>
      <c r="I98" s="18" t="s">
        <v>86</v>
      </c>
      <c r="J98" s="23" t="s">
        <v>306</v>
      </c>
      <c r="K98" s="24">
        <v>250</v>
      </c>
      <c r="L98" s="22" t="s">
        <v>86</v>
      </c>
      <c r="M98" s="22" t="s">
        <v>86</v>
      </c>
      <c r="N98" s="22" t="s">
        <v>86</v>
      </c>
      <c r="O98" s="22" t="s">
        <v>86</v>
      </c>
      <c r="P98" s="22" t="s">
        <v>86</v>
      </c>
      <c r="Q98" s="23" t="s">
        <v>318</v>
      </c>
      <c r="R98" s="23">
        <v>8</v>
      </c>
      <c r="S98" s="20">
        <v>9999</v>
      </c>
      <c r="T98" s="20">
        <v>9999</v>
      </c>
      <c r="U98" s="23" t="s">
        <v>667</v>
      </c>
      <c r="V98" s="23" t="s">
        <v>381</v>
      </c>
      <c r="Y98" s="23" t="s">
        <v>320</v>
      </c>
      <c r="Z98" s="23" t="s">
        <v>313</v>
      </c>
      <c r="AA98" s="23" t="s">
        <v>314</v>
      </c>
      <c r="AB98" s="27" t="s">
        <v>668</v>
      </c>
      <c r="AC98" s="23" t="s">
        <v>306</v>
      </c>
    </row>
    <row r="99" spans="1:29" hidden="1" x14ac:dyDescent="0.2">
      <c r="A99" s="18">
        <v>84</v>
      </c>
      <c r="B99" s="18" t="s">
        <v>335</v>
      </c>
      <c r="C99" s="18">
        <v>9999</v>
      </c>
      <c r="D99" s="18">
        <v>9999</v>
      </c>
      <c r="E99" s="18" t="s">
        <v>322</v>
      </c>
      <c r="F99" s="20">
        <v>9999</v>
      </c>
      <c r="G99" s="19" t="s">
        <v>459</v>
      </c>
      <c r="H99" s="19" t="s">
        <v>460</v>
      </c>
      <c r="I99" s="19" t="s">
        <v>404</v>
      </c>
      <c r="J99" s="23" t="s">
        <v>461</v>
      </c>
      <c r="K99" s="18">
        <v>12.5</v>
      </c>
      <c r="L99" s="18" t="s">
        <v>86</v>
      </c>
      <c r="M99" s="18">
        <v>250</v>
      </c>
      <c r="N99" s="18" t="s">
        <v>86</v>
      </c>
      <c r="O99" s="18">
        <v>75</v>
      </c>
      <c r="P99" s="18" t="s">
        <v>86</v>
      </c>
      <c r="Q99" s="18" t="s">
        <v>326</v>
      </c>
      <c r="R99" s="21" t="s">
        <v>669</v>
      </c>
      <c r="S99" s="20">
        <v>9999</v>
      </c>
      <c r="T99" s="20" t="s">
        <v>352</v>
      </c>
      <c r="U99" s="18" t="s">
        <v>670</v>
      </c>
      <c r="V99" s="18" t="s">
        <v>329</v>
      </c>
      <c r="W99" s="18" t="s">
        <v>671</v>
      </c>
      <c r="X99" s="25">
        <v>44298</v>
      </c>
      <c r="Y99" s="23" t="s">
        <v>464</v>
      </c>
      <c r="Z99" s="23" t="s">
        <v>332</v>
      </c>
      <c r="AA99" s="23" t="s">
        <v>671</v>
      </c>
      <c r="AB99" s="27" t="s">
        <v>672</v>
      </c>
      <c r="AC99" s="18" t="s">
        <v>466</v>
      </c>
    </row>
    <row r="100" spans="1:29" hidden="1" x14ac:dyDescent="0.2">
      <c r="A100" s="18">
        <v>85</v>
      </c>
      <c r="B100" s="18" t="s">
        <v>335</v>
      </c>
      <c r="C100" s="18">
        <v>9999</v>
      </c>
      <c r="D100" s="18">
        <v>9999</v>
      </c>
      <c r="E100" s="18" t="s">
        <v>322</v>
      </c>
      <c r="F100" s="20">
        <v>9999</v>
      </c>
      <c r="G100" s="19" t="s">
        <v>459</v>
      </c>
      <c r="H100" s="19" t="s">
        <v>460</v>
      </c>
      <c r="I100" s="19" t="s">
        <v>404</v>
      </c>
      <c r="J100" s="23" t="s">
        <v>461</v>
      </c>
      <c r="K100" s="18">
        <v>25</v>
      </c>
      <c r="L100" s="18" t="s">
        <v>86</v>
      </c>
      <c r="M100" s="18">
        <v>500</v>
      </c>
      <c r="N100" s="18" t="s">
        <v>86</v>
      </c>
      <c r="O100" s="18">
        <v>150</v>
      </c>
      <c r="P100" s="18" t="s">
        <v>86</v>
      </c>
      <c r="Q100" s="18" t="s">
        <v>326</v>
      </c>
      <c r="R100" s="21" t="s">
        <v>673</v>
      </c>
      <c r="S100" s="20">
        <v>9999</v>
      </c>
      <c r="T100" s="20">
        <v>9999</v>
      </c>
      <c r="U100" s="18" t="s">
        <v>670</v>
      </c>
      <c r="V100" s="18" t="s">
        <v>329</v>
      </c>
      <c r="W100" s="18" t="s">
        <v>674</v>
      </c>
      <c r="X100" s="25">
        <v>44298</v>
      </c>
      <c r="Y100" s="23" t="s">
        <v>472</v>
      </c>
      <c r="Z100" s="23" t="s">
        <v>332</v>
      </c>
      <c r="AA100" s="23" t="s">
        <v>674</v>
      </c>
      <c r="AB100" s="27" t="s">
        <v>672</v>
      </c>
      <c r="AC100" s="18" t="s">
        <v>466</v>
      </c>
    </row>
    <row r="101" spans="1:29" hidden="1" x14ac:dyDescent="0.2">
      <c r="A101" s="18">
        <v>77</v>
      </c>
      <c r="B101" s="18" t="s">
        <v>335</v>
      </c>
      <c r="C101" s="18">
        <v>9999</v>
      </c>
      <c r="D101" s="18">
        <v>9999</v>
      </c>
      <c r="E101" s="18" t="s">
        <v>322</v>
      </c>
      <c r="F101" s="20">
        <v>9999</v>
      </c>
      <c r="G101" s="19" t="s">
        <v>459</v>
      </c>
      <c r="H101" s="19" t="s">
        <v>460</v>
      </c>
      <c r="I101" s="18" t="s">
        <v>86</v>
      </c>
      <c r="J101" s="18" t="s">
        <v>523</v>
      </c>
      <c r="K101" s="18">
        <v>12.5</v>
      </c>
      <c r="L101" s="18" t="s">
        <v>86</v>
      </c>
      <c r="M101" s="18">
        <v>250</v>
      </c>
      <c r="N101" s="18" t="s">
        <v>86</v>
      </c>
      <c r="O101" s="18" t="s">
        <v>86</v>
      </c>
      <c r="P101" s="18" t="s">
        <v>86</v>
      </c>
      <c r="Q101" s="18" t="s">
        <v>326</v>
      </c>
      <c r="R101" s="21" t="s">
        <v>675</v>
      </c>
      <c r="S101" s="20">
        <v>9999</v>
      </c>
      <c r="T101" s="20">
        <v>9999</v>
      </c>
      <c r="U101" s="18" t="s">
        <v>670</v>
      </c>
      <c r="V101" s="18" t="s">
        <v>329</v>
      </c>
      <c r="W101" s="18" t="s">
        <v>676</v>
      </c>
      <c r="X101" s="25">
        <v>44298</v>
      </c>
      <c r="Y101" s="23" t="s">
        <v>526</v>
      </c>
      <c r="Z101" s="23" t="s">
        <v>332</v>
      </c>
      <c r="AA101" s="23" t="s">
        <v>676</v>
      </c>
      <c r="AB101" s="27" t="s">
        <v>672</v>
      </c>
      <c r="AC101" s="18" t="s">
        <v>534</v>
      </c>
    </row>
    <row r="102" spans="1:29" hidden="1" x14ac:dyDescent="0.2">
      <c r="A102" s="18">
        <v>76</v>
      </c>
      <c r="B102" s="18" t="s">
        <v>335</v>
      </c>
      <c r="C102" s="18">
        <v>9999</v>
      </c>
      <c r="D102" s="18">
        <v>9999</v>
      </c>
      <c r="E102" s="18" t="s">
        <v>322</v>
      </c>
      <c r="F102" s="20">
        <v>9999</v>
      </c>
      <c r="G102" s="19" t="s">
        <v>459</v>
      </c>
      <c r="H102" s="19" t="s">
        <v>460</v>
      </c>
      <c r="I102" s="18" t="s">
        <v>86</v>
      </c>
      <c r="J102" s="18" t="s">
        <v>523</v>
      </c>
      <c r="K102" s="18">
        <v>25</v>
      </c>
      <c r="L102" s="18" t="s">
        <v>86</v>
      </c>
      <c r="M102" s="18">
        <v>500</v>
      </c>
      <c r="N102" s="18" t="s">
        <v>86</v>
      </c>
      <c r="O102" s="18" t="s">
        <v>86</v>
      </c>
      <c r="P102" s="18" t="s">
        <v>86</v>
      </c>
      <c r="Q102" s="18" t="s">
        <v>326</v>
      </c>
      <c r="R102" s="21" t="s">
        <v>677</v>
      </c>
      <c r="S102" s="20">
        <v>9999</v>
      </c>
      <c r="T102" s="20">
        <v>9999</v>
      </c>
      <c r="U102" s="18" t="s">
        <v>670</v>
      </c>
      <c r="V102" s="18" t="s">
        <v>329</v>
      </c>
      <c r="W102" s="18" t="s">
        <v>678</v>
      </c>
      <c r="X102" s="25">
        <v>44298</v>
      </c>
      <c r="Y102" s="23" t="s">
        <v>421</v>
      </c>
      <c r="Z102" s="23" t="s">
        <v>332</v>
      </c>
      <c r="AA102" s="23" t="s">
        <v>678</v>
      </c>
      <c r="AB102" s="27" t="s">
        <v>672</v>
      </c>
      <c r="AC102" s="18" t="s">
        <v>534</v>
      </c>
    </row>
    <row r="103" spans="1:29" hidden="1" x14ac:dyDescent="0.2">
      <c r="A103" s="18">
        <v>94</v>
      </c>
      <c r="B103" s="18" t="s">
        <v>302</v>
      </c>
      <c r="C103" s="18">
        <v>9999</v>
      </c>
      <c r="D103" s="18">
        <v>9999</v>
      </c>
      <c r="E103" s="23" t="s">
        <v>679</v>
      </c>
      <c r="F103" s="20">
        <v>9999</v>
      </c>
      <c r="G103" s="23" t="s">
        <v>618</v>
      </c>
      <c r="H103" s="18" t="s">
        <v>86</v>
      </c>
      <c r="I103" s="18" t="s">
        <v>86</v>
      </c>
      <c r="J103" s="23" t="s">
        <v>618</v>
      </c>
      <c r="K103" s="24">
        <v>80</v>
      </c>
      <c r="L103" s="22">
        <v>1</v>
      </c>
      <c r="M103" s="22" t="s">
        <v>86</v>
      </c>
      <c r="N103" s="22" t="s">
        <v>86</v>
      </c>
      <c r="O103" s="22" t="s">
        <v>86</v>
      </c>
      <c r="P103" s="22" t="s">
        <v>86</v>
      </c>
      <c r="Q103" s="23" t="s">
        <v>474</v>
      </c>
      <c r="R103" s="23" t="s">
        <v>680</v>
      </c>
      <c r="S103" s="20">
        <v>9999</v>
      </c>
      <c r="T103" s="20">
        <v>9999</v>
      </c>
      <c r="U103" s="23" t="s">
        <v>681</v>
      </c>
      <c r="V103" s="23" t="s">
        <v>662</v>
      </c>
      <c r="Y103" s="23" t="s">
        <v>382</v>
      </c>
      <c r="Z103" s="23" t="s">
        <v>332</v>
      </c>
      <c r="AA103" s="29" t="s">
        <v>682</v>
      </c>
      <c r="AB103" s="27" t="s">
        <v>683</v>
      </c>
      <c r="AC103" s="23" t="s">
        <v>618</v>
      </c>
    </row>
    <row r="104" spans="1:29" hidden="1" x14ac:dyDescent="0.2">
      <c r="A104" s="18">
        <v>177</v>
      </c>
      <c r="B104" s="18" t="s">
        <v>302</v>
      </c>
      <c r="C104" s="18">
        <v>9999</v>
      </c>
      <c r="D104" s="18">
        <v>9999</v>
      </c>
      <c r="E104" s="23" t="s">
        <v>303</v>
      </c>
      <c r="F104" s="20">
        <v>9999</v>
      </c>
      <c r="G104" s="23" t="s">
        <v>581</v>
      </c>
      <c r="H104" s="18" t="s">
        <v>86</v>
      </c>
      <c r="I104" s="18" t="s">
        <v>86</v>
      </c>
      <c r="J104" s="23" t="s">
        <v>581</v>
      </c>
      <c r="K104" s="24" t="s">
        <v>684</v>
      </c>
      <c r="L104" s="22" t="s">
        <v>86</v>
      </c>
      <c r="M104" s="22" t="s">
        <v>86</v>
      </c>
      <c r="N104" s="22" t="s">
        <v>86</v>
      </c>
      <c r="O104" s="22" t="s">
        <v>86</v>
      </c>
      <c r="P104" s="22" t="s">
        <v>86</v>
      </c>
      <c r="Q104" s="23" t="s">
        <v>685</v>
      </c>
      <c r="R104" s="23">
        <v>100</v>
      </c>
      <c r="S104" s="20">
        <v>9999</v>
      </c>
      <c r="T104" s="20" t="s">
        <v>352</v>
      </c>
      <c r="U104" s="23" t="s">
        <v>686</v>
      </c>
      <c r="V104" s="23" t="s">
        <v>687</v>
      </c>
      <c r="Y104" s="23" t="s">
        <v>584</v>
      </c>
      <c r="Z104" s="23" t="s">
        <v>313</v>
      </c>
      <c r="AA104" s="23" t="s">
        <v>314</v>
      </c>
      <c r="AB104" s="27" t="s">
        <v>688</v>
      </c>
      <c r="AC104" s="23" t="s">
        <v>581</v>
      </c>
    </row>
    <row r="105" spans="1:29" hidden="1" x14ac:dyDescent="0.2">
      <c r="A105" s="18">
        <v>127</v>
      </c>
      <c r="B105" s="18" t="s">
        <v>302</v>
      </c>
      <c r="C105" s="18">
        <v>9999</v>
      </c>
      <c r="D105" s="18">
        <v>9999</v>
      </c>
      <c r="E105" s="23" t="s">
        <v>303</v>
      </c>
      <c r="F105" s="20">
        <v>9999</v>
      </c>
      <c r="G105" s="19" t="s">
        <v>404</v>
      </c>
      <c r="H105" s="23" t="s">
        <v>305</v>
      </c>
      <c r="I105" s="18" t="s">
        <v>86</v>
      </c>
      <c r="J105" s="23" t="s">
        <v>350</v>
      </c>
      <c r="K105" s="18">
        <v>67.5</v>
      </c>
      <c r="L105" s="22" t="s">
        <v>86</v>
      </c>
      <c r="M105" s="22">
        <v>25</v>
      </c>
      <c r="N105" s="22" t="s">
        <v>86</v>
      </c>
      <c r="O105" s="22" t="s">
        <v>86</v>
      </c>
      <c r="P105" s="22" t="s">
        <v>86</v>
      </c>
      <c r="Q105" s="23" t="s">
        <v>351</v>
      </c>
      <c r="R105" s="23" t="s">
        <v>689</v>
      </c>
      <c r="S105" s="20" t="s">
        <v>337</v>
      </c>
      <c r="T105" s="20">
        <v>9999</v>
      </c>
      <c r="U105" s="23" t="s">
        <v>690</v>
      </c>
      <c r="V105" s="23" t="s">
        <v>691</v>
      </c>
      <c r="Y105" s="26" t="s">
        <v>353</v>
      </c>
      <c r="Z105" s="23" t="s">
        <v>332</v>
      </c>
      <c r="AA105" s="23" t="s">
        <v>314</v>
      </c>
      <c r="AB105" s="27" t="s">
        <v>692</v>
      </c>
      <c r="AC105" s="23" t="s">
        <v>693</v>
      </c>
    </row>
    <row r="106" spans="1:29" hidden="1" x14ac:dyDescent="0.2">
      <c r="A106" s="18">
        <v>135</v>
      </c>
      <c r="B106" s="18" t="s">
        <v>302</v>
      </c>
      <c r="C106" s="18">
        <v>9999</v>
      </c>
      <c r="D106" s="18">
        <v>9999</v>
      </c>
      <c r="E106" s="23" t="s">
        <v>303</v>
      </c>
      <c r="F106" s="20">
        <v>9999</v>
      </c>
      <c r="G106" s="19" t="s">
        <v>404</v>
      </c>
      <c r="H106" s="23" t="s">
        <v>305</v>
      </c>
      <c r="I106" s="18" t="s">
        <v>86</v>
      </c>
      <c r="J106" s="23" t="s">
        <v>350</v>
      </c>
      <c r="K106" s="24">
        <v>135</v>
      </c>
      <c r="L106" s="22" t="s">
        <v>86</v>
      </c>
      <c r="M106" s="22">
        <v>50</v>
      </c>
      <c r="N106" s="22" t="s">
        <v>86</v>
      </c>
      <c r="O106" s="22" t="s">
        <v>86</v>
      </c>
      <c r="P106" s="22" t="s">
        <v>86</v>
      </c>
      <c r="Q106" s="23" t="s">
        <v>351</v>
      </c>
      <c r="R106" s="23" t="s">
        <v>694</v>
      </c>
      <c r="S106" s="20" t="s">
        <v>337</v>
      </c>
      <c r="T106" s="20">
        <v>9999</v>
      </c>
      <c r="U106" s="23" t="s">
        <v>690</v>
      </c>
      <c r="V106" s="23" t="s">
        <v>691</v>
      </c>
      <c r="Y106" s="23" t="s">
        <v>357</v>
      </c>
      <c r="Z106" s="23" t="s">
        <v>332</v>
      </c>
      <c r="AA106" s="23" t="s">
        <v>314</v>
      </c>
      <c r="AB106" s="27" t="s">
        <v>692</v>
      </c>
      <c r="AC106" s="23" t="s">
        <v>693</v>
      </c>
    </row>
    <row r="107" spans="1:29" hidden="1" x14ac:dyDescent="0.2">
      <c r="A107" s="18">
        <v>141</v>
      </c>
      <c r="B107" s="18" t="s">
        <v>302</v>
      </c>
      <c r="C107" s="18">
        <v>9999</v>
      </c>
      <c r="D107" s="18">
        <v>9999</v>
      </c>
      <c r="E107" s="23" t="s">
        <v>303</v>
      </c>
      <c r="F107" s="20">
        <v>9999</v>
      </c>
      <c r="G107" s="19" t="s">
        <v>404</v>
      </c>
      <c r="H107" s="23" t="s">
        <v>305</v>
      </c>
      <c r="I107" s="18" t="s">
        <v>86</v>
      </c>
      <c r="J107" s="23" t="s">
        <v>350</v>
      </c>
      <c r="K107" s="24">
        <v>270</v>
      </c>
      <c r="L107" s="22" t="s">
        <v>86</v>
      </c>
      <c r="M107" s="22">
        <v>100</v>
      </c>
      <c r="N107" s="22" t="s">
        <v>86</v>
      </c>
      <c r="O107" s="22" t="s">
        <v>86</v>
      </c>
      <c r="P107" s="22" t="s">
        <v>86</v>
      </c>
      <c r="Q107" s="23" t="s">
        <v>351</v>
      </c>
      <c r="R107" s="23" t="s">
        <v>695</v>
      </c>
      <c r="S107" s="20" t="s">
        <v>337</v>
      </c>
      <c r="T107" s="20">
        <v>9999</v>
      </c>
      <c r="U107" s="23" t="s">
        <v>690</v>
      </c>
      <c r="V107" s="18" t="s">
        <v>696</v>
      </c>
      <c r="Y107" s="23" t="s">
        <v>359</v>
      </c>
      <c r="Z107" s="23" t="s">
        <v>332</v>
      </c>
      <c r="AA107" s="23" t="s">
        <v>314</v>
      </c>
      <c r="AB107" s="27" t="s">
        <v>697</v>
      </c>
      <c r="AC107" s="23" t="s">
        <v>693</v>
      </c>
    </row>
    <row r="108" spans="1:29" hidden="1" x14ac:dyDescent="0.2">
      <c r="A108" s="18">
        <v>11</v>
      </c>
      <c r="B108" s="18" t="s">
        <v>149</v>
      </c>
      <c r="C108" s="18">
        <v>9999</v>
      </c>
      <c r="D108" s="18">
        <v>9999</v>
      </c>
      <c r="E108" s="18" t="s">
        <v>303</v>
      </c>
      <c r="F108" s="20">
        <v>9999</v>
      </c>
      <c r="G108" s="19" t="s">
        <v>404</v>
      </c>
      <c r="H108" s="23" t="s">
        <v>305</v>
      </c>
      <c r="I108" s="18" t="s">
        <v>86</v>
      </c>
      <c r="J108" s="23" t="s">
        <v>350</v>
      </c>
      <c r="K108" s="18">
        <v>67.5</v>
      </c>
      <c r="L108" s="18" t="s">
        <v>86</v>
      </c>
      <c r="M108" s="18">
        <v>25</v>
      </c>
      <c r="N108" s="18" t="s">
        <v>86</v>
      </c>
      <c r="O108" s="18" t="s">
        <v>86</v>
      </c>
      <c r="P108" s="18" t="s">
        <v>86</v>
      </c>
      <c r="Q108" s="18" t="s">
        <v>326</v>
      </c>
      <c r="R108" s="21" t="s">
        <v>405</v>
      </c>
      <c r="S108" s="20">
        <v>9999</v>
      </c>
      <c r="T108" s="20">
        <v>9999</v>
      </c>
      <c r="U108" s="18" t="s">
        <v>698</v>
      </c>
      <c r="V108" s="18" t="s">
        <v>699</v>
      </c>
      <c r="W108" s="18" t="s">
        <v>700</v>
      </c>
      <c r="X108" s="25">
        <v>39735</v>
      </c>
      <c r="AC108" s="18" t="s">
        <v>408</v>
      </c>
    </row>
    <row r="109" spans="1:29" hidden="1" x14ac:dyDescent="0.2">
      <c r="A109" s="18">
        <v>12</v>
      </c>
      <c r="B109" s="18" t="s">
        <v>149</v>
      </c>
      <c r="C109" s="18">
        <v>9999</v>
      </c>
      <c r="D109" s="18">
        <v>9999</v>
      </c>
      <c r="E109" s="18" t="s">
        <v>303</v>
      </c>
      <c r="F109" s="20">
        <v>9999</v>
      </c>
      <c r="G109" s="19" t="s">
        <v>404</v>
      </c>
      <c r="H109" s="23" t="s">
        <v>305</v>
      </c>
      <c r="I109" s="18" t="s">
        <v>86</v>
      </c>
      <c r="J109" s="23" t="s">
        <v>350</v>
      </c>
      <c r="K109" s="18">
        <v>135</v>
      </c>
      <c r="L109" s="18" t="s">
        <v>86</v>
      </c>
      <c r="M109" s="18">
        <v>50</v>
      </c>
      <c r="N109" s="18" t="s">
        <v>86</v>
      </c>
      <c r="O109" s="18" t="s">
        <v>86</v>
      </c>
      <c r="P109" s="18" t="s">
        <v>86</v>
      </c>
      <c r="Q109" s="18" t="s">
        <v>326</v>
      </c>
      <c r="R109" s="21" t="s">
        <v>701</v>
      </c>
      <c r="S109" s="20">
        <v>9999</v>
      </c>
      <c r="T109" s="20">
        <v>9999</v>
      </c>
      <c r="U109" s="18" t="s">
        <v>698</v>
      </c>
      <c r="V109" s="18" t="s">
        <v>699</v>
      </c>
      <c r="W109" s="18" t="s">
        <v>702</v>
      </c>
      <c r="X109" s="25">
        <v>39735</v>
      </c>
      <c r="AC109" s="18" t="s">
        <v>408</v>
      </c>
    </row>
    <row r="110" spans="1:29" hidden="1" x14ac:dyDescent="0.2">
      <c r="A110" s="18">
        <v>15</v>
      </c>
      <c r="B110" s="18" t="s">
        <v>149</v>
      </c>
      <c r="C110" s="18">
        <v>9999</v>
      </c>
      <c r="D110" s="18">
        <v>9999</v>
      </c>
      <c r="E110" s="18" t="s">
        <v>303</v>
      </c>
      <c r="F110" s="20">
        <v>9999</v>
      </c>
      <c r="G110" s="19" t="s">
        <v>404</v>
      </c>
      <c r="H110" s="23" t="s">
        <v>305</v>
      </c>
      <c r="I110" s="18" t="s">
        <v>86</v>
      </c>
      <c r="J110" s="23" t="s">
        <v>350</v>
      </c>
      <c r="K110" s="18">
        <v>270</v>
      </c>
      <c r="L110" s="18" t="s">
        <v>86</v>
      </c>
      <c r="M110" s="18">
        <v>100</v>
      </c>
      <c r="N110" s="18" t="s">
        <v>86</v>
      </c>
      <c r="O110" s="18" t="s">
        <v>86</v>
      </c>
      <c r="P110" s="18" t="s">
        <v>86</v>
      </c>
      <c r="Q110" s="18" t="s">
        <v>326</v>
      </c>
      <c r="R110" s="21" t="s">
        <v>703</v>
      </c>
      <c r="S110" s="20">
        <v>9999</v>
      </c>
      <c r="T110" s="20">
        <v>9999</v>
      </c>
      <c r="U110" s="18" t="s">
        <v>698</v>
      </c>
      <c r="V110" s="18" t="s">
        <v>704</v>
      </c>
      <c r="W110" s="18" t="s">
        <v>705</v>
      </c>
      <c r="X110" s="25">
        <v>39735</v>
      </c>
      <c r="AC110" s="18" t="s">
        <v>408</v>
      </c>
    </row>
    <row r="111" spans="1:29" hidden="1" x14ac:dyDescent="0.2">
      <c r="A111" s="18">
        <v>63</v>
      </c>
      <c r="B111" s="18" t="s">
        <v>149</v>
      </c>
      <c r="C111" s="18">
        <v>9999</v>
      </c>
      <c r="D111" s="18">
        <v>9999</v>
      </c>
      <c r="E111" s="18" t="s">
        <v>706</v>
      </c>
      <c r="F111" s="20">
        <v>9999</v>
      </c>
      <c r="G111" s="18" t="s">
        <v>418</v>
      </c>
      <c r="H111" s="19" t="s">
        <v>707</v>
      </c>
      <c r="I111" s="18" t="s">
        <v>86</v>
      </c>
      <c r="J111" s="18" t="s">
        <v>708</v>
      </c>
      <c r="K111" s="18">
        <v>20</v>
      </c>
      <c r="L111" s="18" t="s">
        <v>86</v>
      </c>
      <c r="M111" s="18">
        <v>60</v>
      </c>
      <c r="N111" s="18" t="s">
        <v>86</v>
      </c>
      <c r="O111" s="18" t="s">
        <v>86</v>
      </c>
      <c r="P111" s="18" t="s">
        <v>86</v>
      </c>
      <c r="Q111" s="18" t="s">
        <v>709</v>
      </c>
      <c r="R111" s="21" t="s">
        <v>710</v>
      </c>
      <c r="S111" s="20">
        <v>9999</v>
      </c>
      <c r="T111" s="20" t="s">
        <v>352</v>
      </c>
      <c r="U111" s="18" t="s">
        <v>711</v>
      </c>
      <c r="V111" s="18" t="s">
        <v>712</v>
      </c>
      <c r="W111" s="18" t="s">
        <v>713</v>
      </c>
      <c r="Y111" s="23" t="s">
        <v>714</v>
      </c>
      <c r="Z111" s="23" t="s">
        <v>369</v>
      </c>
      <c r="AA111" s="23" t="s">
        <v>715</v>
      </c>
      <c r="AB111" s="27" t="s">
        <v>716</v>
      </c>
      <c r="AC111" s="18" t="s">
        <v>717</v>
      </c>
    </row>
    <row r="112" spans="1:29" hidden="1" x14ac:dyDescent="0.2">
      <c r="A112" s="18">
        <v>62</v>
      </c>
      <c r="B112" s="18" t="s">
        <v>149</v>
      </c>
      <c r="C112" s="18">
        <v>9999</v>
      </c>
      <c r="D112" s="18">
        <v>9999</v>
      </c>
      <c r="E112" s="18" t="s">
        <v>360</v>
      </c>
      <c r="F112" s="20">
        <v>9999</v>
      </c>
      <c r="G112" s="18" t="s">
        <v>418</v>
      </c>
      <c r="H112" s="19" t="s">
        <v>707</v>
      </c>
      <c r="I112" s="18" t="s">
        <v>86</v>
      </c>
      <c r="J112" s="18" t="s">
        <v>708</v>
      </c>
      <c r="K112" s="18">
        <v>60</v>
      </c>
      <c r="L112" s="18" t="s">
        <v>86</v>
      </c>
      <c r="M112" s="18">
        <v>180</v>
      </c>
      <c r="N112" s="18" t="s">
        <v>86</v>
      </c>
      <c r="O112" s="18" t="s">
        <v>86</v>
      </c>
      <c r="P112" s="18" t="s">
        <v>86</v>
      </c>
      <c r="Q112" s="18" t="s">
        <v>326</v>
      </c>
      <c r="R112" s="23" t="s">
        <v>718</v>
      </c>
      <c r="S112" s="20">
        <v>9999</v>
      </c>
      <c r="T112" s="20" t="s">
        <v>352</v>
      </c>
      <c r="U112" s="18" t="s">
        <v>711</v>
      </c>
      <c r="V112" s="18" t="s">
        <v>712</v>
      </c>
      <c r="W112" s="18" t="s">
        <v>719</v>
      </c>
      <c r="Y112" s="23" t="s">
        <v>720</v>
      </c>
      <c r="Z112" s="23" t="s">
        <v>369</v>
      </c>
      <c r="AA112" s="23" t="s">
        <v>721</v>
      </c>
      <c r="AB112" s="27" t="s">
        <v>716</v>
      </c>
      <c r="AC112" s="18" t="s">
        <v>717</v>
      </c>
    </row>
    <row r="113" spans="1:29" x14ac:dyDescent="0.2">
      <c r="A113" s="18">
        <v>49</v>
      </c>
      <c r="B113" s="18" t="s">
        <v>335</v>
      </c>
      <c r="C113" s="18">
        <v>9999</v>
      </c>
      <c r="D113" s="18">
        <v>9999</v>
      </c>
      <c r="E113" s="18" t="s">
        <v>303</v>
      </c>
      <c r="F113" s="20">
        <v>9999</v>
      </c>
      <c r="G113" s="18" t="s">
        <v>323</v>
      </c>
      <c r="H113" s="18" t="s">
        <v>324</v>
      </c>
      <c r="I113" s="18" t="s">
        <v>86</v>
      </c>
      <c r="J113" s="23" t="s">
        <v>325</v>
      </c>
      <c r="K113" s="18">
        <v>80</v>
      </c>
      <c r="L113" s="18" t="s">
        <v>86</v>
      </c>
      <c r="M113" s="18">
        <v>480</v>
      </c>
      <c r="N113" s="18" t="s">
        <v>86</v>
      </c>
      <c r="O113" s="18" t="s">
        <v>86</v>
      </c>
      <c r="P113" s="18" t="s">
        <v>86</v>
      </c>
      <c r="Q113" s="18" t="s">
        <v>326</v>
      </c>
      <c r="R113" s="21" t="s">
        <v>722</v>
      </c>
      <c r="S113" s="20">
        <v>9999</v>
      </c>
      <c r="T113" s="20">
        <v>9999</v>
      </c>
      <c r="U113" s="18" t="s">
        <v>723</v>
      </c>
      <c r="V113" s="18" t="s">
        <v>724</v>
      </c>
      <c r="W113" s="18" t="s">
        <v>725</v>
      </c>
      <c r="X113" s="25">
        <v>43502</v>
      </c>
      <c r="Y113" s="23" t="s">
        <v>348</v>
      </c>
      <c r="Z113" s="23" t="s">
        <v>332</v>
      </c>
      <c r="AA113" s="23" t="s">
        <v>725</v>
      </c>
      <c r="AB113" s="27" t="s">
        <v>726</v>
      </c>
      <c r="AC113" s="18" t="s">
        <v>334</v>
      </c>
    </row>
    <row r="114" spans="1:29" x14ac:dyDescent="0.2">
      <c r="A114" s="18">
        <v>39</v>
      </c>
      <c r="B114" s="18" t="s">
        <v>335</v>
      </c>
      <c r="C114" s="18">
        <v>9999</v>
      </c>
      <c r="D114" s="18">
        <v>9999</v>
      </c>
      <c r="E114" s="18" t="s">
        <v>303</v>
      </c>
      <c r="F114" s="20">
        <v>9999</v>
      </c>
      <c r="G114" s="18" t="s">
        <v>323</v>
      </c>
      <c r="H114" s="18" t="s">
        <v>324</v>
      </c>
      <c r="I114" s="18" t="s">
        <v>86</v>
      </c>
      <c r="J114" s="23" t="s">
        <v>325</v>
      </c>
      <c r="K114" s="18">
        <v>20</v>
      </c>
      <c r="L114" s="18" t="s">
        <v>86</v>
      </c>
      <c r="M114" s="18">
        <v>120</v>
      </c>
      <c r="N114" s="18" t="s">
        <v>86</v>
      </c>
      <c r="O114" s="18" t="s">
        <v>86</v>
      </c>
      <c r="P114" s="18" t="s">
        <v>86</v>
      </c>
      <c r="Q114" s="18" t="s">
        <v>326</v>
      </c>
      <c r="R114" s="21" t="s">
        <v>727</v>
      </c>
      <c r="S114" s="20" t="s">
        <v>337</v>
      </c>
      <c r="T114" s="20">
        <v>9999</v>
      </c>
      <c r="U114" s="18" t="s">
        <v>728</v>
      </c>
      <c r="V114" s="18" t="s">
        <v>724</v>
      </c>
      <c r="W114" s="18" t="s">
        <v>729</v>
      </c>
      <c r="X114" s="25">
        <v>41449</v>
      </c>
      <c r="Y114" s="23" t="s">
        <v>331</v>
      </c>
      <c r="Z114" s="23" t="s">
        <v>332</v>
      </c>
      <c r="AA114" s="23" t="s">
        <v>729</v>
      </c>
      <c r="AB114" s="27" t="s">
        <v>730</v>
      </c>
      <c r="AC114" s="18" t="s">
        <v>334</v>
      </c>
    </row>
    <row r="115" spans="1:29" x14ac:dyDescent="0.2">
      <c r="A115" s="18">
        <v>30</v>
      </c>
      <c r="B115" s="18" t="s">
        <v>335</v>
      </c>
      <c r="C115" s="18">
        <v>9999</v>
      </c>
      <c r="D115" s="18">
        <v>9999</v>
      </c>
      <c r="E115" s="18" t="s">
        <v>322</v>
      </c>
      <c r="F115" s="20">
        <v>9999</v>
      </c>
      <c r="G115" s="18" t="s">
        <v>323</v>
      </c>
      <c r="H115" s="18" t="s">
        <v>324</v>
      </c>
      <c r="I115" s="18" t="s">
        <v>86</v>
      </c>
      <c r="J115" s="23" t="s">
        <v>325</v>
      </c>
      <c r="K115" s="18">
        <v>20</v>
      </c>
      <c r="L115" s="18" t="s">
        <v>86</v>
      </c>
      <c r="M115" s="18">
        <v>120</v>
      </c>
      <c r="N115" s="18" t="s">
        <v>86</v>
      </c>
      <c r="O115" s="18" t="s">
        <v>86</v>
      </c>
      <c r="P115" s="18" t="s">
        <v>86</v>
      </c>
      <c r="Q115" s="18" t="s">
        <v>326</v>
      </c>
      <c r="R115" s="21" t="s">
        <v>731</v>
      </c>
      <c r="S115" s="20" t="s">
        <v>337</v>
      </c>
      <c r="T115" s="20">
        <v>9999</v>
      </c>
      <c r="U115" s="18" t="s">
        <v>728</v>
      </c>
      <c r="V115" s="18" t="s">
        <v>724</v>
      </c>
      <c r="W115" s="18" t="s">
        <v>732</v>
      </c>
      <c r="X115" s="25">
        <v>43081</v>
      </c>
      <c r="Y115" s="23" t="s">
        <v>339</v>
      </c>
      <c r="Z115" s="23" t="s">
        <v>332</v>
      </c>
      <c r="AA115" s="23" t="s">
        <v>732</v>
      </c>
      <c r="AB115" s="27" t="s">
        <v>730</v>
      </c>
      <c r="AC115" s="18" t="s">
        <v>334</v>
      </c>
    </row>
    <row r="116" spans="1:29" x14ac:dyDescent="0.2">
      <c r="A116" s="18">
        <v>124</v>
      </c>
      <c r="B116" s="18" t="s">
        <v>302</v>
      </c>
      <c r="C116" s="18">
        <v>9999</v>
      </c>
      <c r="D116" s="18">
        <v>9999</v>
      </c>
      <c r="E116" s="23" t="s">
        <v>303</v>
      </c>
      <c r="F116" s="20">
        <v>9999</v>
      </c>
      <c r="G116" s="19" t="s">
        <v>404</v>
      </c>
      <c r="H116" s="23" t="s">
        <v>305</v>
      </c>
      <c r="I116" s="18" t="s">
        <v>86</v>
      </c>
      <c r="J116" s="23" t="s">
        <v>350</v>
      </c>
      <c r="K116" s="22">
        <v>153</v>
      </c>
      <c r="L116" s="22" t="s">
        <v>86</v>
      </c>
      <c r="M116" s="22">
        <v>50</v>
      </c>
      <c r="N116" s="22" t="s">
        <v>86</v>
      </c>
      <c r="O116" s="22" t="s">
        <v>86</v>
      </c>
      <c r="P116" s="22" t="s">
        <v>86</v>
      </c>
      <c r="Q116" s="23" t="s">
        <v>550</v>
      </c>
      <c r="R116" s="19" t="s">
        <v>733</v>
      </c>
      <c r="S116" s="20">
        <v>9999</v>
      </c>
      <c r="T116" s="20">
        <v>9999</v>
      </c>
      <c r="U116" s="23" t="s">
        <v>734</v>
      </c>
      <c r="V116" s="23" t="s">
        <v>329</v>
      </c>
      <c r="Y116" s="23" t="s">
        <v>412</v>
      </c>
      <c r="Z116" s="23" t="s">
        <v>332</v>
      </c>
      <c r="AA116" s="23" t="s">
        <v>314</v>
      </c>
      <c r="AB116" s="27" t="s">
        <v>735</v>
      </c>
      <c r="AC116" s="23" t="s">
        <v>552</v>
      </c>
    </row>
    <row r="117" spans="1:29" x14ac:dyDescent="0.2">
      <c r="A117" s="18">
        <v>7</v>
      </c>
      <c r="B117" s="18" t="s">
        <v>335</v>
      </c>
      <c r="C117" s="18">
        <v>9999</v>
      </c>
      <c r="D117" s="18">
        <v>9999</v>
      </c>
      <c r="E117" s="18" t="s">
        <v>417</v>
      </c>
      <c r="F117" s="20">
        <v>9999</v>
      </c>
      <c r="G117" s="18" t="s">
        <v>418</v>
      </c>
      <c r="H117" s="18" t="s">
        <v>86</v>
      </c>
      <c r="I117" s="18" t="s">
        <v>86</v>
      </c>
      <c r="J117" s="18" t="s">
        <v>305</v>
      </c>
      <c r="K117" s="18">
        <v>100</v>
      </c>
      <c r="L117" s="18" t="s">
        <v>86</v>
      </c>
      <c r="M117" s="18" t="s">
        <v>86</v>
      </c>
      <c r="N117" s="18" t="s">
        <v>86</v>
      </c>
      <c r="O117" s="18" t="s">
        <v>86</v>
      </c>
      <c r="P117" s="18" t="s">
        <v>86</v>
      </c>
      <c r="Q117" s="18" t="s">
        <v>326</v>
      </c>
      <c r="R117" s="21" t="s">
        <v>419</v>
      </c>
      <c r="S117" s="20">
        <v>9999</v>
      </c>
      <c r="T117" s="20">
        <v>9999</v>
      </c>
      <c r="U117" s="18" t="s">
        <v>723</v>
      </c>
      <c r="V117" s="18" t="s">
        <v>736</v>
      </c>
      <c r="W117" s="18" t="s">
        <v>737</v>
      </c>
      <c r="X117" s="25">
        <v>43270</v>
      </c>
      <c r="Y117" s="23" t="s">
        <v>421</v>
      </c>
      <c r="Z117" s="23" t="s">
        <v>332</v>
      </c>
      <c r="AA117" s="23" t="s">
        <v>737</v>
      </c>
      <c r="AB117" s="27" t="s">
        <v>738</v>
      </c>
      <c r="AC117" s="18" t="s">
        <v>305</v>
      </c>
    </row>
    <row r="118" spans="1:29" x14ac:dyDescent="0.2">
      <c r="A118" s="18">
        <v>181</v>
      </c>
      <c r="B118" s="18" t="s">
        <v>302</v>
      </c>
      <c r="C118" s="18">
        <v>9999</v>
      </c>
      <c r="D118" s="18">
        <v>9999</v>
      </c>
      <c r="E118" s="23" t="s">
        <v>651</v>
      </c>
      <c r="F118" s="20">
        <v>9999</v>
      </c>
      <c r="G118" s="18" t="s">
        <v>652</v>
      </c>
      <c r="H118" s="18" t="s">
        <v>86</v>
      </c>
      <c r="I118" s="18" t="s">
        <v>86</v>
      </c>
      <c r="J118" s="23" t="s">
        <v>652</v>
      </c>
      <c r="K118" s="24">
        <v>300</v>
      </c>
      <c r="L118" s="22" t="s">
        <v>86</v>
      </c>
      <c r="M118" s="22"/>
      <c r="N118" s="22" t="s">
        <v>86</v>
      </c>
      <c r="O118" s="22" t="s">
        <v>86</v>
      </c>
      <c r="P118" s="22" t="s">
        <v>86</v>
      </c>
      <c r="Q118" s="23" t="s">
        <v>326</v>
      </c>
      <c r="R118" s="19" t="s">
        <v>739</v>
      </c>
      <c r="S118" s="20">
        <v>9999</v>
      </c>
      <c r="T118" s="20" t="s">
        <v>352</v>
      </c>
      <c r="U118" s="23" t="s">
        <v>740</v>
      </c>
      <c r="V118" s="23" t="s">
        <v>381</v>
      </c>
      <c r="Y118" s="23" t="s">
        <v>654</v>
      </c>
      <c r="Z118" s="23" t="s">
        <v>313</v>
      </c>
      <c r="AA118" s="23" t="s">
        <v>741</v>
      </c>
      <c r="AB118" s="27" t="s">
        <v>742</v>
      </c>
      <c r="AC118" s="23" t="s">
        <v>655</v>
      </c>
    </row>
    <row r="119" spans="1:29" hidden="1" x14ac:dyDescent="0.2">
      <c r="A119" s="18">
        <v>156</v>
      </c>
      <c r="B119" s="18" t="s">
        <v>302</v>
      </c>
      <c r="C119" s="18">
        <v>9999</v>
      </c>
      <c r="D119" s="18">
        <v>9999</v>
      </c>
      <c r="E119" s="23" t="s">
        <v>743</v>
      </c>
      <c r="F119" s="20">
        <v>9999</v>
      </c>
      <c r="G119" s="18" t="s">
        <v>349</v>
      </c>
      <c r="H119" s="23" t="s">
        <v>744</v>
      </c>
      <c r="I119" s="18" t="s">
        <v>745</v>
      </c>
      <c r="J119" s="23" t="s">
        <v>461</v>
      </c>
      <c r="K119" s="24">
        <v>75</v>
      </c>
      <c r="L119" s="22" t="s">
        <v>86</v>
      </c>
      <c r="M119" s="22">
        <v>12.5</v>
      </c>
      <c r="N119" s="22" t="s">
        <v>86</v>
      </c>
      <c r="O119" s="22">
        <v>250</v>
      </c>
      <c r="P119" s="22" t="s">
        <v>86</v>
      </c>
      <c r="Q119" s="23" t="s">
        <v>746</v>
      </c>
      <c r="R119" s="23" t="s">
        <v>747</v>
      </c>
      <c r="S119" s="20">
        <v>9999</v>
      </c>
      <c r="T119" s="20" t="s">
        <v>352</v>
      </c>
      <c r="U119" s="18" t="s">
        <v>748</v>
      </c>
      <c r="V119" s="18" t="s">
        <v>749</v>
      </c>
      <c r="Y119" s="23" t="s">
        <v>464</v>
      </c>
      <c r="Z119" s="23" t="s">
        <v>332</v>
      </c>
      <c r="AA119" s="29" t="s">
        <v>750</v>
      </c>
      <c r="AB119" s="27" t="s">
        <v>751</v>
      </c>
      <c r="AC119" s="23" t="s">
        <v>752</v>
      </c>
    </row>
    <row r="120" spans="1:29" hidden="1" x14ac:dyDescent="0.2">
      <c r="A120" s="18">
        <v>152</v>
      </c>
      <c r="B120" s="18" t="s">
        <v>302</v>
      </c>
      <c r="C120" s="18">
        <v>9999</v>
      </c>
      <c r="D120" s="18">
        <v>9999</v>
      </c>
      <c r="E120" s="23" t="s">
        <v>743</v>
      </c>
      <c r="F120" s="20">
        <v>9999</v>
      </c>
      <c r="G120" s="18" t="s">
        <v>349</v>
      </c>
      <c r="H120" s="23" t="s">
        <v>744</v>
      </c>
      <c r="I120" s="18" t="s">
        <v>745</v>
      </c>
      <c r="J120" s="23" t="s">
        <v>461</v>
      </c>
      <c r="K120" s="24">
        <v>150</v>
      </c>
      <c r="L120" s="22" t="s">
        <v>86</v>
      </c>
      <c r="M120" s="22">
        <v>25</v>
      </c>
      <c r="N120" s="22" t="s">
        <v>86</v>
      </c>
      <c r="O120" s="22">
        <v>500</v>
      </c>
      <c r="P120" s="22" t="s">
        <v>86</v>
      </c>
      <c r="Q120" s="23" t="s">
        <v>746</v>
      </c>
      <c r="R120" s="23" t="s">
        <v>747</v>
      </c>
      <c r="S120" s="20">
        <v>9999</v>
      </c>
      <c r="T120" s="20" t="s">
        <v>352</v>
      </c>
      <c r="U120" s="18" t="s">
        <v>748</v>
      </c>
      <c r="V120" s="18" t="s">
        <v>749</v>
      </c>
      <c r="Y120" s="23" t="s">
        <v>472</v>
      </c>
      <c r="Z120" s="23" t="s">
        <v>332</v>
      </c>
      <c r="AA120" s="29" t="s">
        <v>753</v>
      </c>
      <c r="AB120" s="27" t="s">
        <v>751</v>
      </c>
      <c r="AC120" s="23" t="s">
        <v>752</v>
      </c>
    </row>
    <row r="121" spans="1:29" hidden="1" x14ac:dyDescent="0.2">
      <c r="A121" s="18">
        <v>78</v>
      </c>
      <c r="B121" s="18" t="s">
        <v>335</v>
      </c>
      <c r="C121" s="18">
        <v>9999</v>
      </c>
      <c r="D121" s="18">
        <v>9999</v>
      </c>
      <c r="E121" s="18" t="s">
        <v>322</v>
      </c>
      <c r="F121" s="20">
        <v>9999</v>
      </c>
      <c r="G121" s="19" t="s">
        <v>459</v>
      </c>
      <c r="H121" s="19" t="s">
        <v>460</v>
      </c>
      <c r="I121" s="18" t="s">
        <v>86</v>
      </c>
      <c r="J121" s="18" t="s">
        <v>523</v>
      </c>
      <c r="K121" s="18">
        <v>12.5</v>
      </c>
      <c r="L121" s="18" t="s">
        <v>86</v>
      </c>
      <c r="M121" s="18">
        <v>250</v>
      </c>
      <c r="N121" s="18" t="s">
        <v>86</v>
      </c>
      <c r="O121" s="18" t="s">
        <v>86</v>
      </c>
      <c r="P121" s="18" t="s">
        <v>86</v>
      </c>
      <c r="Q121" s="18" t="s">
        <v>326</v>
      </c>
      <c r="R121" s="21" t="s">
        <v>754</v>
      </c>
      <c r="S121" s="20">
        <v>9999</v>
      </c>
      <c r="T121" s="20">
        <v>9999</v>
      </c>
      <c r="U121" s="18" t="s">
        <v>748</v>
      </c>
      <c r="V121" s="18" t="s">
        <v>749</v>
      </c>
      <c r="W121" s="18" t="s">
        <v>755</v>
      </c>
      <c r="X121" s="25">
        <v>44795</v>
      </c>
      <c r="Y121" s="23" t="s">
        <v>526</v>
      </c>
      <c r="Z121" s="23" t="s">
        <v>332</v>
      </c>
      <c r="AA121" s="23" t="s">
        <v>755</v>
      </c>
      <c r="AB121" s="27" t="s">
        <v>756</v>
      </c>
      <c r="AC121" s="18" t="s">
        <v>534</v>
      </c>
    </row>
    <row r="122" spans="1:29" hidden="1" x14ac:dyDescent="0.2">
      <c r="A122" s="18">
        <v>73</v>
      </c>
      <c r="B122" s="18" t="s">
        <v>335</v>
      </c>
      <c r="C122" s="18">
        <v>9999</v>
      </c>
      <c r="D122" s="18">
        <v>9999</v>
      </c>
      <c r="E122" s="18" t="s">
        <v>322</v>
      </c>
      <c r="F122" s="20">
        <v>9999</v>
      </c>
      <c r="G122" s="19" t="s">
        <v>459</v>
      </c>
      <c r="H122" s="19" t="s">
        <v>460</v>
      </c>
      <c r="I122" s="18" t="s">
        <v>86</v>
      </c>
      <c r="J122" s="18" t="s">
        <v>523</v>
      </c>
      <c r="K122" s="18">
        <v>25</v>
      </c>
      <c r="L122" s="18" t="s">
        <v>86</v>
      </c>
      <c r="M122" s="18">
        <v>500</v>
      </c>
      <c r="N122" s="18" t="s">
        <v>86</v>
      </c>
      <c r="O122" s="18" t="s">
        <v>86</v>
      </c>
      <c r="P122" s="18" t="s">
        <v>86</v>
      </c>
      <c r="Q122" s="18" t="s">
        <v>326</v>
      </c>
      <c r="R122" s="21" t="s">
        <v>757</v>
      </c>
      <c r="S122" s="20">
        <v>9999</v>
      </c>
      <c r="T122" s="20">
        <v>9999</v>
      </c>
      <c r="U122" s="18" t="s">
        <v>748</v>
      </c>
      <c r="V122" s="18" t="s">
        <v>749</v>
      </c>
      <c r="W122" s="18" t="s">
        <v>758</v>
      </c>
      <c r="X122" s="25">
        <v>44795</v>
      </c>
      <c r="Y122" s="23" t="s">
        <v>421</v>
      </c>
      <c r="Z122" s="23" t="s">
        <v>332</v>
      </c>
      <c r="AA122" s="23" t="s">
        <v>758</v>
      </c>
      <c r="AB122" s="27" t="s">
        <v>756</v>
      </c>
      <c r="AC122" s="18" t="s">
        <v>534</v>
      </c>
    </row>
    <row r="129" spans="1:25" ht="15" x14ac:dyDescent="0.2">
      <c r="A129" s="10"/>
      <c r="B129" s="10"/>
      <c r="C129" s="10"/>
      <c r="D129" s="10"/>
      <c r="E129" s="12"/>
      <c r="F129" s="11"/>
      <c r="G129" s="10"/>
      <c r="H129" s="10"/>
      <c r="I129" s="12"/>
      <c r="J129" s="12"/>
      <c r="K129" s="10"/>
      <c r="L129" s="12"/>
      <c r="M129" s="12"/>
      <c r="N129" s="10"/>
      <c r="O129" s="10"/>
      <c r="P129" s="10"/>
      <c r="Q129" s="12"/>
      <c r="R129" s="10"/>
      <c r="S129" s="10"/>
      <c r="T129" s="10"/>
      <c r="U129" s="10"/>
      <c r="V129" s="10"/>
      <c r="W129" s="12"/>
      <c r="X129" s="12"/>
      <c r="Y129" s="12"/>
    </row>
    <row r="130" spans="1:25" ht="15" x14ac:dyDescent="0.2">
      <c r="A130" s="10"/>
      <c r="B130" s="10"/>
      <c r="C130" s="10"/>
      <c r="D130" s="10"/>
      <c r="E130" s="12"/>
      <c r="F130" s="11"/>
      <c r="G130" s="10"/>
      <c r="H130" s="10"/>
      <c r="I130" s="12"/>
      <c r="J130" s="12"/>
      <c r="K130" s="10"/>
      <c r="L130" s="12"/>
      <c r="M130" s="12"/>
      <c r="N130" s="10"/>
      <c r="O130" s="10"/>
      <c r="P130" s="10"/>
      <c r="Q130" s="12"/>
      <c r="R130" s="10"/>
      <c r="S130" s="10"/>
      <c r="T130" s="10"/>
      <c r="U130" s="10"/>
      <c r="V130" s="10"/>
      <c r="W130" s="12"/>
      <c r="X130" s="12"/>
      <c r="Y130" s="12"/>
    </row>
    <row r="131" spans="1:25" ht="15" x14ac:dyDescent="0.2">
      <c r="A131" s="10"/>
      <c r="B131" s="10"/>
      <c r="C131" s="10"/>
      <c r="D131" s="10"/>
      <c r="E131" s="12"/>
      <c r="F131" s="11"/>
      <c r="G131" s="10"/>
      <c r="H131" s="10"/>
      <c r="I131" s="12"/>
      <c r="J131" s="12"/>
      <c r="K131" s="10"/>
      <c r="L131" s="12"/>
      <c r="M131" s="12"/>
      <c r="N131" s="10"/>
      <c r="O131" s="10"/>
      <c r="P131" s="10"/>
      <c r="Q131" s="12"/>
      <c r="R131" s="10"/>
      <c r="S131" s="10"/>
      <c r="T131" s="10"/>
      <c r="U131" s="10"/>
      <c r="V131" s="10"/>
      <c r="W131" s="12"/>
      <c r="X131" s="12"/>
      <c r="Y131" s="12"/>
    </row>
    <row r="132" spans="1:25" ht="15" x14ac:dyDescent="0.2">
      <c r="A132" s="10"/>
      <c r="B132" s="10"/>
      <c r="C132" s="10"/>
      <c r="D132" s="10"/>
      <c r="E132" s="12"/>
      <c r="F132" s="11"/>
      <c r="G132" s="10"/>
      <c r="H132" s="10"/>
      <c r="I132" s="12"/>
      <c r="J132" s="12"/>
      <c r="K132" s="10"/>
      <c r="L132" s="12"/>
      <c r="M132" s="12"/>
      <c r="N132" s="10"/>
      <c r="O132" s="10"/>
      <c r="P132" s="10"/>
      <c r="Q132" s="12"/>
      <c r="R132" s="10"/>
      <c r="S132" s="10"/>
      <c r="T132" s="10"/>
      <c r="U132" s="10"/>
      <c r="V132" s="10"/>
      <c r="W132" s="12"/>
      <c r="X132" s="12"/>
      <c r="Y132" s="12"/>
    </row>
    <row r="133" spans="1:25" ht="15" x14ac:dyDescent="0.2">
      <c r="A133" s="10"/>
      <c r="B133" s="10"/>
      <c r="C133" s="10"/>
      <c r="D133" s="10"/>
      <c r="E133" s="12"/>
      <c r="F133" s="11"/>
      <c r="G133" s="10"/>
      <c r="H133" s="10"/>
      <c r="I133" s="12"/>
      <c r="J133" s="12"/>
      <c r="K133" s="10"/>
      <c r="L133" s="12"/>
      <c r="M133" s="12"/>
      <c r="N133" s="10"/>
      <c r="O133" s="10"/>
      <c r="P133" s="10"/>
      <c r="Q133" s="12"/>
      <c r="R133" s="10"/>
      <c r="S133" s="10"/>
      <c r="T133" s="10"/>
      <c r="U133" s="10"/>
      <c r="V133" s="10"/>
      <c r="W133" s="12"/>
      <c r="X133" s="12"/>
      <c r="Y133" s="12"/>
    </row>
    <row r="134" spans="1:25" ht="15" x14ac:dyDescent="0.2">
      <c r="A134" s="10"/>
      <c r="B134" s="10"/>
      <c r="C134" s="10"/>
      <c r="D134" s="10"/>
      <c r="E134" s="12"/>
      <c r="F134" s="11"/>
      <c r="G134" s="10"/>
      <c r="H134" s="10"/>
      <c r="I134" s="12"/>
      <c r="J134" s="12"/>
      <c r="K134" s="10"/>
      <c r="L134" s="12"/>
      <c r="M134" s="10"/>
      <c r="N134" s="12"/>
      <c r="O134" s="10"/>
      <c r="P134" s="10"/>
      <c r="Q134" s="12"/>
      <c r="R134" s="10"/>
      <c r="S134" s="10"/>
      <c r="T134" s="10"/>
      <c r="U134" s="10"/>
      <c r="V134" s="10"/>
      <c r="W134" s="12"/>
      <c r="X134" s="12"/>
      <c r="Y134" s="12"/>
    </row>
    <row r="135" spans="1:25" ht="15" x14ac:dyDescent="0.2">
      <c r="A135" s="10"/>
      <c r="B135" s="10"/>
      <c r="C135" s="10"/>
      <c r="D135" s="10"/>
      <c r="E135" s="12"/>
      <c r="F135" s="11"/>
      <c r="G135" s="10"/>
      <c r="H135" s="10"/>
      <c r="I135" s="12"/>
      <c r="J135" s="12"/>
      <c r="K135" s="10"/>
      <c r="L135" s="12"/>
      <c r="M135" s="10"/>
      <c r="N135" s="12"/>
      <c r="O135" s="10"/>
      <c r="P135" s="10"/>
      <c r="Q135" s="12"/>
      <c r="R135" s="10"/>
      <c r="S135" s="10"/>
      <c r="T135" s="10"/>
      <c r="U135" s="10"/>
      <c r="V135" s="10"/>
      <c r="W135" s="12"/>
      <c r="X135" s="12"/>
      <c r="Y135" s="12"/>
    </row>
    <row r="136" spans="1:25" ht="15" x14ac:dyDescent="0.2">
      <c r="A136" s="10"/>
      <c r="B136" s="10"/>
      <c r="C136" s="10"/>
      <c r="D136" s="10"/>
      <c r="E136" s="12"/>
      <c r="F136" s="11"/>
      <c r="G136" s="10"/>
      <c r="H136" s="10"/>
      <c r="I136" s="12"/>
      <c r="J136" s="12"/>
      <c r="K136" s="10"/>
      <c r="L136" s="12"/>
      <c r="M136" s="10"/>
      <c r="N136" s="12"/>
      <c r="O136" s="10"/>
      <c r="P136" s="10"/>
      <c r="Q136" s="12"/>
      <c r="R136" s="10"/>
      <c r="S136" s="10"/>
      <c r="T136" s="10"/>
      <c r="U136" s="10"/>
      <c r="V136" s="10"/>
      <c r="W136" s="12"/>
      <c r="X136" s="12"/>
      <c r="Y136" s="12"/>
    </row>
    <row r="137" spans="1:25" ht="15" x14ac:dyDescent="0.2">
      <c r="A137" s="10"/>
      <c r="B137" s="10"/>
      <c r="C137" s="10"/>
      <c r="D137" s="10"/>
      <c r="E137" s="12"/>
      <c r="F137" s="11"/>
      <c r="G137" s="11"/>
      <c r="H137" s="10"/>
      <c r="I137" s="12"/>
      <c r="J137" s="12"/>
      <c r="K137" s="10"/>
      <c r="L137" s="12"/>
      <c r="M137" s="10"/>
      <c r="N137" s="12"/>
      <c r="O137" s="10"/>
      <c r="P137" s="10"/>
      <c r="Q137" s="12"/>
      <c r="R137" s="10"/>
      <c r="S137" s="10"/>
      <c r="T137" s="10"/>
      <c r="U137" s="10"/>
      <c r="V137" s="10"/>
      <c r="W137" s="12"/>
      <c r="X137" s="12"/>
      <c r="Y137" s="12"/>
    </row>
    <row r="138" spans="1:25" ht="15" x14ac:dyDescent="0.2">
      <c r="A138" s="10"/>
      <c r="B138" s="10"/>
      <c r="C138" s="10"/>
      <c r="D138" s="12"/>
      <c r="E138" s="12"/>
      <c r="F138" s="11"/>
      <c r="G138" s="11"/>
      <c r="H138" s="10"/>
      <c r="I138" s="12"/>
      <c r="J138" s="12"/>
      <c r="K138" s="10"/>
      <c r="L138" s="12"/>
      <c r="M138" s="10"/>
      <c r="N138" s="10"/>
      <c r="O138" s="10"/>
      <c r="P138" s="10"/>
      <c r="Q138" s="12"/>
      <c r="R138" s="10"/>
      <c r="S138" s="10"/>
      <c r="T138" s="10"/>
      <c r="U138" s="10"/>
      <c r="V138" s="10"/>
      <c r="W138" s="12"/>
      <c r="X138" s="12"/>
      <c r="Y138" s="12"/>
    </row>
    <row r="139" spans="1:25" ht="15" x14ac:dyDescent="0.2">
      <c r="A139" s="10"/>
      <c r="B139" s="10"/>
      <c r="C139" s="10"/>
      <c r="D139" s="10"/>
      <c r="E139" s="12"/>
      <c r="F139" s="11"/>
      <c r="G139" s="11"/>
      <c r="H139" s="10"/>
      <c r="I139" s="12"/>
      <c r="J139" s="12"/>
      <c r="K139" s="10"/>
      <c r="L139" s="12"/>
      <c r="M139" s="10"/>
      <c r="N139" s="12"/>
      <c r="O139" s="10"/>
      <c r="P139" s="10"/>
      <c r="Q139" s="12"/>
      <c r="R139" s="10"/>
      <c r="S139" s="10"/>
      <c r="T139" s="10"/>
      <c r="U139" s="10"/>
      <c r="V139" s="10"/>
      <c r="W139" s="12"/>
      <c r="X139" s="12"/>
      <c r="Y139" s="12"/>
    </row>
    <row r="140" spans="1:25" ht="15" x14ac:dyDescent="0.2">
      <c r="A140" s="10"/>
      <c r="B140" s="10"/>
      <c r="C140" s="10"/>
      <c r="D140" s="10"/>
      <c r="E140" s="12"/>
      <c r="F140" s="11"/>
      <c r="G140" s="11"/>
      <c r="H140" s="10"/>
      <c r="I140" s="12"/>
      <c r="J140" s="12"/>
      <c r="K140" s="10"/>
      <c r="L140" s="12"/>
      <c r="M140" s="10"/>
      <c r="N140" s="12"/>
      <c r="O140" s="10"/>
      <c r="P140" s="10"/>
      <c r="Q140" s="12"/>
      <c r="R140" s="10"/>
      <c r="S140" s="10"/>
      <c r="T140" s="10"/>
      <c r="U140" s="10"/>
      <c r="V140" s="10"/>
      <c r="W140" s="12"/>
      <c r="X140" s="12"/>
      <c r="Y140" s="12"/>
    </row>
    <row r="141" spans="1:25" ht="15" x14ac:dyDescent="0.2">
      <c r="A141" s="10"/>
      <c r="B141" s="10"/>
      <c r="C141" s="10"/>
      <c r="D141" s="10"/>
      <c r="E141" s="12"/>
      <c r="F141" s="11"/>
      <c r="G141" s="11"/>
      <c r="H141" s="10"/>
      <c r="I141" s="12"/>
      <c r="J141" s="12"/>
      <c r="K141" s="10"/>
      <c r="L141" s="12"/>
      <c r="M141" s="10"/>
      <c r="N141" s="12"/>
      <c r="O141" s="10"/>
      <c r="P141" s="10"/>
      <c r="Q141" s="12"/>
      <c r="R141" s="10"/>
      <c r="S141" s="10"/>
      <c r="T141" s="10"/>
      <c r="U141" s="10"/>
      <c r="V141" s="10"/>
      <c r="W141" s="12"/>
      <c r="X141" s="12"/>
      <c r="Y141" s="12"/>
    </row>
    <row r="142" spans="1:25" ht="15" x14ac:dyDescent="0.2">
      <c r="A142" s="10"/>
      <c r="B142" s="10"/>
      <c r="C142" s="10"/>
      <c r="D142" s="10"/>
      <c r="E142" s="12"/>
      <c r="F142" s="11"/>
      <c r="G142" s="11"/>
      <c r="H142" s="10"/>
      <c r="I142" s="12"/>
      <c r="J142" s="12"/>
      <c r="K142" s="10"/>
      <c r="L142" s="12"/>
      <c r="M142" s="12"/>
      <c r="N142" s="10"/>
      <c r="O142" s="10"/>
      <c r="P142" s="10"/>
      <c r="Q142" s="12"/>
      <c r="R142" s="13"/>
      <c r="S142" s="13"/>
      <c r="T142" s="13"/>
      <c r="U142" s="10"/>
      <c r="V142" s="10"/>
      <c r="W142" s="12"/>
      <c r="X142" s="12"/>
      <c r="Y142" s="12"/>
    </row>
    <row r="143" spans="1:25" ht="15" x14ac:dyDescent="0.2">
      <c r="A143" s="10"/>
      <c r="B143" s="10"/>
      <c r="C143" s="10"/>
      <c r="D143" s="10"/>
      <c r="E143" s="12"/>
      <c r="F143" s="11"/>
      <c r="G143" s="11"/>
      <c r="H143" s="10"/>
      <c r="I143" s="12"/>
      <c r="J143" s="12"/>
      <c r="K143" s="10"/>
      <c r="L143" s="12"/>
      <c r="M143" s="12"/>
      <c r="N143" s="10"/>
      <c r="O143" s="10"/>
      <c r="P143" s="10"/>
      <c r="Q143" s="12"/>
      <c r="R143" s="13"/>
      <c r="S143" s="13"/>
      <c r="T143" s="13"/>
      <c r="U143" s="10"/>
      <c r="V143" s="10"/>
      <c r="W143" s="12"/>
      <c r="X143" s="12"/>
      <c r="Y143" s="12"/>
    </row>
    <row r="144" spans="1:25" ht="15" x14ac:dyDescent="0.2">
      <c r="A144" s="10"/>
      <c r="B144" s="10"/>
      <c r="C144" s="10"/>
      <c r="D144" s="12"/>
      <c r="E144" s="12"/>
      <c r="F144" s="11"/>
      <c r="G144" s="11"/>
      <c r="H144" s="10"/>
      <c r="I144" s="12"/>
      <c r="J144" s="12"/>
      <c r="K144" s="10"/>
      <c r="L144" s="12"/>
      <c r="M144" s="10"/>
      <c r="N144" s="10"/>
      <c r="O144" s="10"/>
      <c r="P144" s="10"/>
      <c r="Q144" s="12"/>
      <c r="R144" s="13"/>
      <c r="S144" s="13"/>
      <c r="T144" s="13"/>
      <c r="U144" s="10"/>
      <c r="V144" s="10"/>
      <c r="W144" s="12"/>
      <c r="X144" s="12"/>
      <c r="Y144" s="12"/>
    </row>
    <row r="145" spans="1:25" ht="15" x14ac:dyDescent="0.2">
      <c r="A145" s="10"/>
      <c r="B145" s="10"/>
      <c r="C145" s="10"/>
      <c r="D145" s="10"/>
      <c r="E145" s="12"/>
      <c r="F145" s="11"/>
      <c r="G145" s="11"/>
      <c r="H145" s="10"/>
      <c r="I145" s="12"/>
      <c r="J145" s="12"/>
      <c r="K145" s="10"/>
      <c r="L145" s="12"/>
      <c r="M145" s="10"/>
      <c r="N145" s="12"/>
      <c r="O145" s="10"/>
      <c r="P145" s="10"/>
      <c r="Q145" s="12"/>
      <c r="R145" s="10"/>
      <c r="S145" s="10"/>
      <c r="T145" s="10"/>
      <c r="U145" s="10"/>
      <c r="V145" s="10"/>
      <c r="W145" s="12"/>
      <c r="X145" s="12"/>
      <c r="Y145" s="12"/>
    </row>
    <row r="146" spans="1:25" ht="15" x14ac:dyDescent="0.2">
      <c r="A146" s="10"/>
      <c r="B146" s="10"/>
      <c r="C146" s="10"/>
      <c r="D146" s="10"/>
      <c r="E146" s="12"/>
      <c r="F146" s="11"/>
      <c r="G146" s="11"/>
      <c r="H146" s="10"/>
      <c r="I146" s="12"/>
      <c r="J146" s="12"/>
      <c r="K146" s="10"/>
      <c r="L146" s="12"/>
      <c r="M146" s="12"/>
      <c r="N146" s="10"/>
      <c r="O146" s="10"/>
      <c r="P146" s="10"/>
      <c r="Q146" s="12"/>
      <c r="R146" s="10"/>
      <c r="S146" s="10"/>
      <c r="T146" s="10"/>
      <c r="U146" s="10"/>
      <c r="V146" s="10"/>
      <c r="W146" s="12"/>
      <c r="X146" s="12"/>
      <c r="Y146" s="12"/>
    </row>
    <row r="147" spans="1:25" ht="15" x14ac:dyDescent="0.2">
      <c r="A147" s="10"/>
      <c r="B147" s="10"/>
      <c r="C147" s="10"/>
      <c r="D147" s="10"/>
      <c r="E147" s="12"/>
      <c r="F147" s="11"/>
      <c r="G147" s="11"/>
      <c r="H147" s="10"/>
      <c r="I147" s="12"/>
      <c r="J147" s="12"/>
      <c r="K147" s="10"/>
      <c r="L147" s="12"/>
      <c r="M147" s="12"/>
      <c r="N147" s="10"/>
      <c r="O147" s="10"/>
      <c r="P147" s="10"/>
      <c r="Q147" s="12"/>
      <c r="R147" s="13"/>
      <c r="S147" s="13"/>
      <c r="T147" s="13"/>
      <c r="U147" s="10"/>
      <c r="V147" s="10"/>
      <c r="W147" s="12"/>
      <c r="X147" s="12"/>
      <c r="Y147" s="12"/>
    </row>
    <row r="148" spans="1:25" ht="15" x14ac:dyDescent="0.2">
      <c r="A148" s="10"/>
      <c r="B148" s="10"/>
      <c r="C148" s="10"/>
      <c r="D148" s="10"/>
      <c r="E148" s="12"/>
      <c r="F148" s="11"/>
      <c r="G148" s="11"/>
      <c r="H148" s="10"/>
      <c r="I148" s="12"/>
      <c r="J148" s="12"/>
      <c r="K148" s="10"/>
      <c r="L148" s="12"/>
      <c r="M148" s="10"/>
      <c r="N148" s="12"/>
      <c r="O148" s="10"/>
      <c r="P148" s="10"/>
      <c r="Q148" s="12"/>
      <c r="R148" s="10"/>
      <c r="S148" s="10"/>
      <c r="T148" s="10"/>
      <c r="U148" s="10"/>
      <c r="V148" s="10"/>
      <c r="W148" s="12"/>
      <c r="X148" s="12"/>
      <c r="Y148" s="12"/>
    </row>
    <row r="149" spans="1:25" ht="15" x14ac:dyDescent="0.2">
      <c r="A149" s="10"/>
      <c r="B149" s="10"/>
      <c r="C149" s="10"/>
      <c r="D149" s="12"/>
      <c r="E149" s="12"/>
      <c r="F149" s="11"/>
      <c r="G149" s="10"/>
      <c r="H149" s="10"/>
      <c r="I149" s="12"/>
      <c r="J149" s="15"/>
      <c r="K149" s="10"/>
      <c r="L149" s="15"/>
      <c r="M149" s="10"/>
      <c r="N149" s="10"/>
      <c r="O149" s="10"/>
      <c r="P149" s="10"/>
      <c r="Q149" s="12"/>
      <c r="R149" s="10"/>
      <c r="S149" s="10"/>
      <c r="T149" s="10"/>
      <c r="U149" s="10"/>
      <c r="V149" s="10"/>
      <c r="W149" s="12"/>
      <c r="X149" s="12"/>
      <c r="Y149" s="12"/>
    </row>
    <row r="150" spans="1:25" ht="15" x14ac:dyDescent="0.2">
      <c r="A150" s="10"/>
      <c r="B150" s="10"/>
      <c r="C150" s="10"/>
      <c r="D150" s="12"/>
      <c r="E150" s="12"/>
      <c r="F150" s="11"/>
      <c r="G150" s="11"/>
      <c r="H150" s="10"/>
      <c r="I150" s="12"/>
      <c r="J150" s="12"/>
      <c r="K150" s="10"/>
      <c r="L150" s="12"/>
      <c r="M150" s="10"/>
      <c r="N150" s="10"/>
      <c r="O150" s="10"/>
      <c r="P150" s="10"/>
      <c r="Q150" s="12"/>
      <c r="R150" s="13"/>
      <c r="S150" s="13"/>
      <c r="T150" s="13"/>
      <c r="U150" s="10"/>
      <c r="V150" s="10"/>
      <c r="W150" s="12"/>
      <c r="X150" s="12"/>
      <c r="Y150" s="12"/>
    </row>
    <row r="151" spans="1:25" ht="15" x14ac:dyDescent="0.2">
      <c r="A151" s="10"/>
      <c r="B151" s="10"/>
      <c r="C151" s="10"/>
      <c r="D151" s="10"/>
      <c r="E151" s="12"/>
      <c r="F151" s="11"/>
      <c r="G151" s="11"/>
      <c r="H151" s="10"/>
      <c r="I151" s="12"/>
      <c r="J151" s="12"/>
      <c r="K151" s="10"/>
      <c r="L151" s="12"/>
      <c r="M151" s="12"/>
      <c r="N151" s="10"/>
      <c r="O151" s="10"/>
      <c r="P151" s="10"/>
      <c r="Q151" s="12"/>
      <c r="R151" s="13"/>
      <c r="S151" s="13"/>
      <c r="T151" s="13"/>
      <c r="U151" s="10"/>
      <c r="V151" s="10"/>
      <c r="W151" s="12"/>
      <c r="X151" s="12"/>
      <c r="Y151" s="12"/>
    </row>
    <row r="152" spans="1:25" ht="15" x14ac:dyDescent="0.2">
      <c r="A152" s="10"/>
      <c r="B152" s="10"/>
      <c r="C152" s="10"/>
      <c r="D152" s="10"/>
      <c r="E152" s="12"/>
      <c r="F152" s="11"/>
      <c r="G152" s="11"/>
      <c r="H152" s="10"/>
      <c r="I152" s="12"/>
      <c r="J152" s="12"/>
      <c r="K152" s="10"/>
      <c r="L152" s="12"/>
      <c r="M152" s="12"/>
      <c r="N152" s="10"/>
      <c r="O152" s="10"/>
      <c r="P152" s="10"/>
      <c r="Q152" s="12"/>
      <c r="R152" s="13"/>
      <c r="S152" s="13"/>
      <c r="T152" s="13"/>
      <c r="U152" s="10"/>
      <c r="V152" s="10"/>
      <c r="W152" s="12"/>
      <c r="X152" s="12"/>
      <c r="Y152" s="12"/>
    </row>
    <row r="153" spans="1:25" ht="15" x14ac:dyDescent="0.2">
      <c r="A153" s="10"/>
      <c r="B153" s="10"/>
      <c r="C153" s="10"/>
      <c r="D153" s="10"/>
      <c r="E153" s="12"/>
      <c r="F153" s="11"/>
      <c r="G153" s="11"/>
      <c r="H153" s="10"/>
      <c r="I153" s="12"/>
      <c r="J153" s="12"/>
      <c r="K153" s="10"/>
      <c r="L153" s="12"/>
      <c r="M153" s="12"/>
      <c r="N153" s="10"/>
      <c r="O153" s="10"/>
      <c r="P153" s="10"/>
      <c r="Q153" s="12"/>
      <c r="R153" s="13"/>
      <c r="S153" s="13"/>
      <c r="T153" s="13"/>
      <c r="U153" s="10"/>
      <c r="V153" s="10"/>
      <c r="W153" s="12"/>
      <c r="X153" s="12"/>
      <c r="Y153" s="12"/>
    </row>
    <row r="154" spans="1:25" ht="15" x14ac:dyDescent="0.2">
      <c r="A154" s="10"/>
      <c r="B154" s="10"/>
      <c r="C154" s="10"/>
      <c r="D154" s="10"/>
      <c r="E154" s="12"/>
      <c r="F154" s="11"/>
      <c r="G154" s="11"/>
      <c r="H154" s="10"/>
      <c r="I154" s="12"/>
      <c r="J154" s="12"/>
      <c r="K154" s="10"/>
      <c r="L154" s="12"/>
      <c r="M154" s="12"/>
      <c r="N154" s="10"/>
      <c r="O154" s="10"/>
      <c r="P154" s="10"/>
      <c r="Q154" s="12"/>
      <c r="R154" s="13"/>
      <c r="S154" s="13"/>
      <c r="T154" s="13"/>
      <c r="U154" s="10"/>
      <c r="V154" s="10"/>
      <c r="W154" s="12"/>
      <c r="X154" s="12"/>
      <c r="Y154" s="12"/>
    </row>
    <row r="155" spans="1:25" ht="15" x14ac:dyDescent="0.2">
      <c r="A155" s="10"/>
      <c r="B155" s="10"/>
      <c r="C155" s="10"/>
      <c r="D155" s="10"/>
      <c r="E155" s="12"/>
      <c r="F155" s="11"/>
      <c r="G155" s="11"/>
      <c r="H155" s="10"/>
      <c r="I155" s="12"/>
      <c r="J155" s="12"/>
      <c r="K155" s="10"/>
      <c r="L155" s="12"/>
      <c r="M155" s="10"/>
      <c r="N155" s="10"/>
      <c r="O155" s="10"/>
      <c r="P155" s="10"/>
      <c r="Q155" s="12"/>
      <c r="R155" s="13"/>
      <c r="S155" s="13"/>
      <c r="T155" s="13"/>
      <c r="U155" s="10"/>
      <c r="V155" s="10"/>
      <c r="W155" s="12"/>
      <c r="X155" s="12"/>
      <c r="Y155" s="12"/>
    </row>
    <row r="156" spans="1:25" ht="15" x14ac:dyDescent="0.2">
      <c r="A156" s="10"/>
      <c r="B156" s="10"/>
      <c r="C156" s="10"/>
      <c r="D156" s="10"/>
      <c r="E156" s="12"/>
      <c r="F156" s="11"/>
      <c r="G156" s="11"/>
      <c r="H156" s="10"/>
      <c r="I156" s="12"/>
      <c r="J156" s="12"/>
      <c r="K156" s="10"/>
      <c r="L156" s="12"/>
      <c r="M156" s="10"/>
      <c r="N156" s="10"/>
      <c r="O156" s="10"/>
      <c r="P156" s="10"/>
      <c r="Q156" s="12"/>
      <c r="R156" s="13"/>
      <c r="S156" s="13"/>
      <c r="T156" s="13"/>
      <c r="U156" s="10"/>
      <c r="V156" s="10"/>
      <c r="W156" s="12"/>
      <c r="X156" s="12"/>
      <c r="Y156" s="12"/>
    </row>
    <row r="157" spans="1:25" ht="15" x14ac:dyDescent="0.2">
      <c r="A157" s="10"/>
      <c r="B157" s="10"/>
      <c r="C157" s="10"/>
      <c r="D157" s="12"/>
      <c r="E157" s="12"/>
      <c r="F157" s="11"/>
      <c r="G157" s="11"/>
      <c r="H157" s="10"/>
      <c r="I157" s="12"/>
      <c r="J157" s="12"/>
      <c r="K157" s="10"/>
      <c r="L157" s="12"/>
      <c r="M157" s="10"/>
      <c r="N157" s="10"/>
      <c r="O157" s="10"/>
      <c r="P157" s="10"/>
      <c r="Q157" s="12"/>
      <c r="R157" s="13"/>
      <c r="S157" s="13"/>
      <c r="T157" s="13"/>
      <c r="U157" s="10"/>
      <c r="V157" s="10"/>
      <c r="W157" s="12"/>
      <c r="X157" s="12"/>
      <c r="Y157" s="12"/>
    </row>
    <row r="158" spans="1:25" ht="15" x14ac:dyDescent="0.2">
      <c r="A158" s="10"/>
      <c r="B158" s="10"/>
      <c r="C158" s="10"/>
      <c r="D158" s="12"/>
      <c r="E158" s="12"/>
      <c r="F158" s="11"/>
      <c r="G158" s="10"/>
      <c r="H158" s="10"/>
      <c r="I158" s="12"/>
      <c r="J158" s="12"/>
      <c r="K158" s="10"/>
      <c r="L158" s="12"/>
      <c r="M158" s="10"/>
      <c r="N158" s="10"/>
      <c r="O158" s="10"/>
      <c r="P158" s="10"/>
      <c r="Q158" s="12"/>
      <c r="R158" s="10"/>
      <c r="S158" s="10"/>
      <c r="T158" s="10"/>
      <c r="U158" s="10"/>
      <c r="V158" s="10"/>
      <c r="W158" s="12"/>
      <c r="X158" s="12"/>
      <c r="Y158" s="12"/>
    </row>
    <row r="159" spans="1:25" ht="15" x14ac:dyDescent="0.2">
      <c r="A159" s="10"/>
      <c r="B159" s="10"/>
      <c r="C159" s="10"/>
      <c r="D159" s="12"/>
      <c r="E159" s="12"/>
      <c r="F159" s="11"/>
      <c r="G159" s="10"/>
      <c r="H159" s="10"/>
      <c r="I159" s="12"/>
      <c r="J159" s="12"/>
      <c r="K159" s="10"/>
      <c r="L159" s="12"/>
      <c r="M159" s="10"/>
      <c r="N159" s="10"/>
      <c r="O159" s="10"/>
      <c r="P159" s="10"/>
      <c r="Q159" s="12"/>
      <c r="R159" s="10"/>
      <c r="S159" s="10"/>
      <c r="T159" s="10"/>
      <c r="U159" s="10"/>
      <c r="V159" s="10"/>
      <c r="W159" s="12"/>
      <c r="X159" s="12"/>
      <c r="Y159" s="12"/>
    </row>
    <row r="160" spans="1:25" ht="15" x14ac:dyDescent="0.2">
      <c r="A160" s="10"/>
      <c r="B160" s="10"/>
      <c r="C160" s="10"/>
      <c r="D160" s="12"/>
      <c r="E160" s="12"/>
      <c r="F160" s="11"/>
      <c r="G160" s="11"/>
      <c r="H160" s="10"/>
      <c r="I160" s="12"/>
      <c r="J160" s="12"/>
      <c r="K160" s="10"/>
      <c r="L160" s="12"/>
      <c r="M160" s="10"/>
      <c r="N160" s="10"/>
      <c r="O160" s="10"/>
      <c r="P160" s="10"/>
      <c r="Q160" s="12"/>
      <c r="R160" s="13"/>
      <c r="S160" s="13"/>
      <c r="T160" s="13"/>
      <c r="U160" s="10"/>
      <c r="V160" s="10"/>
      <c r="W160" s="12"/>
      <c r="X160" s="12"/>
      <c r="Y160" s="12"/>
    </row>
    <row r="161" spans="1:25" ht="15" x14ac:dyDescent="0.2">
      <c r="A161" s="10"/>
      <c r="B161" s="10"/>
      <c r="C161" s="10"/>
      <c r="D161" s="10"/>
      <c r="E161" s="12"/>
      <c r="F161" s="11"/>
      <c r="G161" s="11"/>
      <c r="H161" s="10"/>
      <c r="I161" s="12"/>
      <c r="J161" s="12"/>
      <c r="K161" s="10"/>
      <c r="L161" s="12"/>
      <c r="M161" s="10"/>
      <c r="N161" s="10"/>
      <c r="O161" s="10"/>
      <c r="P161" s="10"/>
      <c r="Q161" s="12"/>
      <c r="R161" s="13"/>
      <c r="S161" s="13"/>
      <c r="T161" s="13"/>
      <c r="U161" s="10"/>
      <c r="V161" s="10"/>
      <c r="W161" s="12"/>
      <c r="X161" s="12"/>
      <c r="Y161" s="12"/>
    </row>
    <row r="162" spans="1:25" ht="15" x14ac:dyDescent="0.2">
      <c r="A162" s="10"/>
      <c r="B162" s="10"/>
      <c r="C162" s="10"/>
      <c r="D162" s="10"/>
      <c r="E162" s="12"/>
      <c r="F162" s="11"/>
      <c r="G162" s="11"/>
      <c r="H162" s="10"/>
      <c r="I162" s="12"/>
      <c r="J162" s="12"/>
      <c r="K162" s="10"/>
      <c r="L162" s="12"/>
      <c r="M162" s="10"/>
      <c r="N162" s="10"/>
      <c r="O162" s="10"/>
      <c r="P162" s="10"/>
      <c r="Q162" s="12"/>
      <c r="R162" s="13"/>
      <c r="S162" s="13"/>
      <c r="T162" s="13"/>
      <c r="U162" s="10"/>
      <c r="V162" s="10"/>
      <c r="W162" s="12"/>
      <c r="X162" s="12"/>
      <c r="Y162" s="12"/>
    </row>
    <row r="163" spans="1:25" ht="15" x14ac:dyDescent="0.2">
      <c r="A163" s="10"/>
      <c r="B163" s="10"/>
      <c r="C163" s="10"/>
      <c r="D163" s="10"/>
      <c r="E163" s="12"/>
      <c r="F163" s="11"/>
      <c r="G163" s="11"/>
      <c r="H163" s="10"/>
      <c r="I163" s="12"/>
      <c r="J163" s="12"/>
      <c r="K163" s="10"/>
      <c r="L163" s="12"/>
      <c r="M163" s="10"/>
      <c r="N163" s="10"/>
      <c r="O163" s="10"/>
      <c r="P163" s="10"/>
      <c r="Q163" s="12"/>
      <c r="R163" s="13"/>
      <c r="S163" s="13"/>
      <c r="T163" s="13"/>
      <c r="U163" s="10"/>
      <c r="V163" s="10"/>
      <c r="W163" s="12"/>
      <c r="X163" s="12"/>
      <c r="Y163" s="12"/>
    </row>
    <row r="164" spans="1:25" ht="15" x14ac:dyDescent="0.2">
      <c r="A164" s="10"/>
      <c r="B164" s="10"/>
      <c r="C164" s="10"/>
      <c r="D164" s="10"/>
      <c r="E164" s="12"/>
      <c r="F164" s="11"/>
      <c r="G164" s="11"/>
      <c r="H164" s="10"/>
      <c r="I164" s="12"/>
      <c r="J164" s="12"/>
      <c r="K164" s="10"/>
      <c r="L164" s="12"/>
      <c r="M164" s="10"/>
      <c r="N164" s="10"/>
      <c r="O164" s="10"/>
      <c r="P164" s="10"/>
      <c r="Q164" s="12"/>
      <c r="R164" s="13"/>
      <c r="S164" s="13"/>
      <c r="T164" s="13"/>
      <c r="U164" s="10"/>
      <c r="V164" s="10"/>
      <c r="W164" s="12"/>
      <c r="X164" s="12"/>
      <c r="Y164" s="12"/>
    </row>
    <row r="165" spans="1:25" ht="15" x14ac:dyDescent="0.2">
      <c r="A165" s="10"/>
      <c r="B165" s="10"/>
      <c r="C165" s="10"/>
      <c r="D165" s="10"/>
      <c r="E165" s="12"/>
      <c r="F165" s="11"/>
      <c r="G165" s="11"/>
      <c r="H165" s="10"/>
      <c r="I165" s="12"/>
      <c r="J165" s="12"/>
      <c r="K165" s="10"/>
      <c r="L165" s="12"/>
      <c r="M165" s="10"/>
      <c r="N165" s="12"/>
      <c r="O165" s="10"/>
      <c r="P165" s="10"/>
      <c r="Q165" s="12"/>
      <c r="R165" s="10"/>
      <c r="S165" s="10"/>
      <c r="T165" s="10"/>
      <c r="U165" s="10"/>
      <c r="V165" s="10"/>
      <c r="W165" s="12"/>
      <c r="X165" s="12"/>
      <c r="Y165" s="12"/>
    </row>
    <row r="166" spans="1:25" ht="15" x14ac:dyDescent="0.2">
      <c r="A166" s="10"/>
      <c r="B166" s="10"/>
      <c r="C166" s="10"/>
      <c r="D166" s="10"/>
      <c r="E166" s="12"/>
      <c r="F166" s="11"/>
      <c r="G166" s="11"/>
      <c r="H166" s="10"/>
      <c r="I166" s="12"/>
      <c r="J166" s="12"/>
      <c r="K166" s="10"/>
      <c r="L166" s="12"/>
      <c r="M166" s="12"/>
      <c r="N166" s="10"/>
      <c r="O166" s="10"/>
      <c r="P166" s="10"/>
      <c r="Q166" s="12"/>
      <c r="R166" s="13"/>
      <c r="S166" s="13"/>
      <c r="T166" s="13"/>
      <c r="U166" s="10"/>
      <c r="V166" s="10"/>
      <c r="W166" s="12"/>
      <c r="X166" s="12"/>
      <c r="Y166" s="12"/>
    </row>
    <row r="167" spans="1:25" ht="15" x14ac:dyDescent="0.2">
      <c r="A167" s="10"/>
      <c r="B167" s="10"/>
      <c r="C167" s="10"/>
      <c r="D167" s="10"/>
      <c r="E167" s="12"/>
      <c r="F167" s="11"/>
      <c r="G167" s="11"/>
      <c r="H167" s="10"/>
      <c r="I167" s="12"/>
      <c r="J167" s="12"/>
      <c r="K167" s="10"/>
      <c r="L167" s="12"/>
      <c r="M167" s="12"/>
      <c r="N167" s="10"/>
      <c r="O167" s="10"/>
      <c r="P167" s="10"/>
      <c r="Q167" s="12"/>
      <c r="R167" s="13"/>
      <c r="S167" s="13"/>
      <c r="T167" s="13"/>
      <c r="U167" s="10"/>
      <c r="V167" s="10"/>
      <c r="W167" s="12"/>
      <c r="X167" s="12"/>
      <c r="Y167" s="12"/>
    </row>
    <row r="168" spans="1:25" ht="15" x14ac:dyDescent="0.2">
      <c r="A168" s="10"/>
      <c r="B168" s="10"/>
      <c r="C168" s="10"/>
      <c r="D168" s="12"/>
      <c r="E168" s="12"/>
      <c r="F168" s="11"/>
      <c r="G168" s="11"/>
      <c r="H168" s="10"/>
      <c r="I168" s="12"/>
      <c r="J168" s="12"/>
      <c r="K168" s="10"/>
      <c r="L168" s="12"/>
      <c r="M168" s="10"/>
      <c r="N168" s="10"/>
      <c r="O168" s="10"/>
      <c r="P168" s="10"/>
      <c r="Q168" s="12"/>
      <c r="R168" s="13"/>
      <c r="S168" s="13"/>
      <c r="T168" s="13"/>
      <c r="U168" s="10"/>
      <c r="V168" s="10"/>
      <c r="W168" s="12"/>
      <c r="X168" s="12"/>
      <c r="Y168" s="12"/>
    </row>
    <row r="169" spans="1:25" ht="15" x14ac:dyDescent="0.2">
      <c r="A169" s="10"/>
      <c r="B169" s="10"/>
      <c r="C169" s="10"/>
      <c r="D169" s="10"/>
      <c r="E169" s="12"/>
      <c r="F169" s="11"/>
      <c r="G169" s="11"/>
      <c r="H169" s="10"/>
      <c r="I169" s="12"/>
      <c r="J169" s="12"/>
      <c r="K169" s="10"/>
      <c r="L169" s="12"/>
      <c r="M169" s="12"/>
      <c r="N169" s="10"/>
      <c r="O169" s="10"/>
      <c r="P169" s="10"/>
      <c r="Q169" s="12"/>
      <c r="R169" s="13"/>
      <c r="S169" s="13"/>
      <c r="T169" s="13"/>
      <c r="U169" s="10"/>
      <c r="V169" s="10"/>
      <c r="W169" s="12"/>
      <c r="X169" s="12"/>
      <c r="Y169" s="12"/>
    </row>
    <row r="170" spans="1:25" ht="15" x14ac:dyDescent="0.2">
      <c r="A170" s="10"/>
      <c r="B170" s="10"/>
      <c r="C170" s="10"/>
      <c r="D170" s="10"/>
      <c r="E170" s="12"/>
      <c r="F170" s="11"/>
      <c r="G170" s="11"/>
      <c r="H170" s="10"/>
      <c r="I170" s="12"/>
      <c r="J170" s="12"/>
      <c r="K170" s="10"/>
      <c r="L170" s="12"/>
      <c r="M170" s="12"/>
      <c r="N170" s="10"/>
      <c r="O170" s="10"/>
      <c r="P170" s="10"/>
      <c r="Q170" s="12"/>
      <c r="R170" s="13"/>
      <c r="S170" s="13"/>
      <c r="T170" s="13"/>
      <c r="U170" s="10"/>
      <c r="V170" s="10"/>
      <c r="W170" s="12"/>
      <c r="X170" s="12"/>
      <c r="Y170" s="12"/>
    </row>
    <row r="171" spans="1:25" ht="15" x14ac:dyDescent="0.2">
      <c r="A171" s="10"/>
      <c r="B171" s="10"/>
      <c r="C171" s="10"/>
      <c r="D171" s="10"/>
      <c r="E171" s="12"/>
      <c r="F171" s="11"/>
      <c r="G171" s="11"/>
      <c r="H171" s="10"/>
      <c r="I171" s="12"/>
      <c r="J171" s="12"/>
      <c r="K171" s="10"/>
      <c r="L171" s="12"/>
      <c r="M171" s="12"/>
      <c r="N171" s="10"/>
      <c r="O171" s="10"/>
      <c r="P171" s="10"/>
      <c r="Q171" s="12"/>
      <c r="R171" s="13"/>
      <c r="S171" s="13"/>
      <c r="T171" s="13"/>
      <c r="U171" s="10"/>
      <c r="V171" s="10"/>
      <c r="W171" s="12"/>
      <c r="X171" s="12"/>
      <c r="Y171" s="12"/>
    </row>
    <row r="172" spans="1:25" ht="15" x14ac:dyDescent="0.2">
      <c r="A172" s="10"/>
      <c r="B172" s="10"/>
      <c r="C172" s="10"/>
      <c r="D172" s="10"/>
      <c r="E172" s="12"/>
      <c r="F172" s="11"/>
      <c r="G172" s="11"/>
      <c r="H172" s="10"/>
      <c r="I172" s="12"/>
      <c r="J172" s="12"/>
      <c r="K172" s="10"/>
      <c r="L172" s="12"/>
      <c r="M172" s="12"/>
      <c r="N172" s="10"/>
      <c r="O172" s="10"/>
      <c r="P172" s="10"/>
      <c r="Q172" s="12"/>
      <c r="R172" s="13"/>
      <c r="S172" s="13"/>
      <c r="T172" s="13"/>
      <c r="U172" s="10"/>
      <c r="V172" s="10"/>
      <c r="W172" s="12"/>
      <c r="X172" s="12"/>
      <c r="Y172" s="12"/>
    </row>
    <row r="173" spans="1:25" ht="15" x14ac:dyDescent="0.2">
      <c r="A173" s="10"/>
      <c r="B173" s="10"/>
      <c r="C173" s="10"/>
      <c r="D173" s="12"/>
      <c r="E173" s="12"/>
      <c r="F173" s="11"/>
      <c r="G173" s="11"/>
      <c r="H173" s="10"/>
      <c r="I173" s="12"/>
      <c r="J173" s="12"/>
      <c r="K173" s="10"/>
      <c r="L173" s="12"/>
      <c r="M173" s="10"/>
      <c r="N173" s="10"/>
      <c r="O173" s="10"/>
      <c r="P173" s="10"/>
      <c r="Q173" s="12"/>
      <c r="R173" s="13"/>
      <c r="S173" s="13"/>
      <c r="T173" s="13"/>
      <c r="U173" s="10"/>
      <c r="V173" s="10"/>
      <c r="W173" s="12"/>
      <c r="X173" s="12"/>
      <c r="Y173" s="12"/>
    </row>
    <row r="174" spans="1:25" ht="15" x14ac:dyDescent="0.2">
      <c r="A174" s="10"/>
      <c r="B174" s="10"/>
      <c r="C174" s="10"/>
      <c r="D174" s="10"/>
      <c r="E174" s="12"/>
      <c r="F174" s="11"/>
      <c r="G174" s="11"/>
      <c r="H174" s="10"/>
      <c r="I174" s="12"/>
      <c r="J174" s="12"/>
      <c r="K174" s="10"/>
      <c r="L174" s="12"/>
      <c r="M174" s="12"/>
      <c r="N174" s="10"/>
      <c r="O174" s="10"/>
      <c r="P174" s="10"/>
      <c r="Q174" s="12"/>
      <c r="R174" s="13"/>
      <c r="S174" s="13"/>
      <c r="T174" s="13"/>
      <c r="U174" s="10"/>
      <c r="V174" s="10"/>
      <c r="W174" s="12"/>
      <c r="X174" s="12"/>
      <c r="Y174" s="12"/>
    </row>
    <row r="175" spans="1:25" ht="15" x14ac:dyDescent="0.2">
      <c r="A175" s="10"/>
      <c r="B175" s="10"/>
      <c r="C175" s="10"/>
      <c r="D175" s="12"/>
      <c r="E175" s="12"/>
      <c r="F175" s="11"/>
      <c r="G175" s="11"/>
      <c r="H175" s="10"/>
      <c r="I175" s="12"/>
      <c r="J175" s="12"/>
      <c r="K175" s="10"/>
      <c r="L175" s="12"/>
      <c r="M175" s="10"/>
      <c r="N175" s="10"/>
      <c r="O175" s="10"/>
      <c r="P175" s="10"/>
      <c r="Q175" s="12"/>
      <c r="R175" s="13"/>
      <c r="S175" s="13"/>
      <c r="T175" s="13"/>
      <c r="U175" s="10"/>
      <c r="V175" s="10"/>
      <c r="W175" s="12"/>
      <c r="X175" s="12"/>
      <c r="Y175" s="12"/>
    </row>
    <row r="176" spans="1:25" ht="15" x14ac:dyDescent="0.2">
      <c r="A176" s="10"/>
      <c r="B176" s="10"/>
      <c r="C176" s="10"/>
      <c r="D176" s="10"/>
      <c r="E176" s="12"/>
      <c r="F176" s="11"/>
      <c r="G176" s="11"/>
      <c r="H176" s="10"/>
      <c r="I176" s="12"/>
      <c r="J176" s="12"/>
      <c r="K176" s="10"/>
      <c r="L176" s="12"/>
      <c r="M176" s="12"/>
      <c r="N176" s="10"/>
      <c r="O176" s="10"/>
      <c r="P176" s="10"/>
      <c r="Q176" s="12"/>
      <c r="R176" s="13"/>
      <c r="S176" s="13"/>
      <c r="T176" s="13"/>
      <c r="U176" s="10"/>
      <c r="V176" s="10"/>
      <c r="W176" s="12"/>
      <c r="X176" s="12"/>
      <c r="Y176" s="12"/>
    </row>
    <row r="177" spans="1:25" ht="15" x14ac:dyDescent="0.2">
      <c r="A177" s="10"/>
      <c r="B177" s="10"/>
      <c r="C177" s="10"/>
      <c r="D177" s="10"/>
      <c r="E177" s="12"/>
      <c r="F177" s="11"/>
      <c r="G177" s="11"/>
      <c r="H177" s="10"/>
      <c r="I177" s="12"/>
      <c r="J177" s="12"/>
      <c r="K177" s="10"/>
      <c r="L177" s="12"/>
      <c r="M177" s="10"/>
      <c r="N177" s="12"/>
      <c r="O177" s="10"/>
      <c r="P177" s="10"/>
      <c r="Q177" s="12"/>
      <c r="R177" s="10"/>
      <c r="S177" s="10"/>
      <c r="T177" s="10"/>
      <c r="U177" s="10"/>
      <c r="V177" s="10"/>
      <c r="W177" s="12"/>
      <c r="X177" s="12"/>
      <c r="Y177" s="12"/>
    </row>
    <row r="178" spans="1:25" ht="15" x14ac:dyDescent="0.2">
      <c r="A178" s="10"/>
      <c r="B178" s="10"/>
      <c r="C178" s="10"/>
      <c r="D178" s="10"/>
      <c r="E178" s="12"/>
      <c r="F178" s="11"/>
      <c r="G178" s="11"/>
      <c r="H178" s="10"/>
      <c r="I178" s="12"/>
      <c r="J178" s="15"/>
      <c r="K178" s="10"/>
      <c r="L178" s="15"/>
      <c r="M178" s="10"/>
      <c r="N178" s="15"/>
      <c r="O178" s="10"/>
      <c r="P178" s="10"/>
      <c r="Q178" s="12"/>
      <c r="R178" s="10"/>
      <c r="S178" s="10"/>
      <c r="T178" s="10"/>
      <c r="U178" s="10"/>
      <c r="V178" s="10"/>
      <c r="W178" s="12"/>
      <c r="X178" s="12"/>
      <c r="Y178" s="12"/>
    </row>
    <row r="179" spans="1:25" ht="15" x14ac:dyDescent="0.2">
      <c r="A179" s="10"/>
      <c r="B179" s="10"/>
      <c r="C179" s="10"/>
      <c r="D179" s="16"/>
      <c r="E179" s="16"/>
      <c r="F179" s="11"/>
      <c r="G179" s="10"/>
      <c r="H179" s="10"/>
      <c r="I179" s="16"/>
      <c r="J179" s="16"/>
      <c r="K179" s="10"/>
      <c r="L179" s="16"/>
      <c r="M179" s="16"/>
      <c r="N179" s="16"/>
      <c r="O179" s="16"/>
      <c r="P179" s="10"/>
      <c r="Q179" s="16"/>
      <c r="R179" s="10"/>
      <c r="S179" s="10"/>
      <c r="T179" s="10"/>
      <c r="U179" s="10"/>
      <c r="V179" s="10"/>
      <c r="W179" s="16"/>
      <c r="X179" s="16"/>
      <c r="Y179" s="16"/>
    </row>
    <row r="180" spans="1:25" ht="15" x14ac:dyDescent="0.2">
      <c r="A180" s="10"/>
      <c r="B180" s="10"/>
      <c r="C180" s="10"/>
      <c r="D180" s="10"/>
      <c r="E180" s="12"/>
      <c r="F180" s="11"/>
      <c r="G180" s="11"/>
      <c r="H180" s="10"/>
      <c r="I180" s="12"/>
      <c r="J180" s="12"/>
      <c r="K180" s="10"/>
      <c r="L180" s="12"/>
      <c r="M180" s="12"/>
      <c r="N180" s="10"/>
      <c r="O180" s="10"/>
      <c r="P180" s="10"/>
      <c r="Q180" s="12"/>
      <c r="R180" s="13"/>
      <c r="S180" s="13"/>
      <c r="T180" s="13"/>
      <c r="U180" s="10"/>
      <c r="V180" s="10"/>
      <c r="W180" s="12"/>
      <c r="X180" s="12"/>
      <c r="Y180" s="12"/>
    </row>
    <row r="181" spans="1:25" ht="15" x14ac:dyDescent="0.2">
      <c r="A181" s="10"/>
      <c r="B181" s="10"/>
      <c r="C181" s="10"/>
      <c r="D181" s="10"/>
      <c r="E181" s="12"/>
      <c r="F181" s="11"/>
      <c r="G181" s="11"/>
      <c r="H181" s="10"/>
      <c r="I181" s="12"/>
      <c r="J181" s="12"/>
      <c r="K181" s="10"/>
      <c r="L181" s="12"/>
      <c r="M181" s="12"/>
      <c r="N181" s="10"/>
      <c r="O181" s="10"/>
      <c r="P181" s="10"/>
      <c r="Q181" s="12"/>
      <c r="R181" s="13"/>
      <c r="S181" s="13"/>
      <c r="T181" s="13"/>
      <c r="U181" s="10"/>
      <c r="V181" s="10"/>
      <c r="W181" s="12"/>
      <c r="X181" s="12"/>
      <c r="Y181" s="12"/>
    </row>
    <row r="182" spans="1:25" ht="15" x14ac:dyDescent="0.2">
      <c r="A182" s="10"/>
      <c r="B182" s="10"/>
      <c r="C182" s="10"/>
      <c r="D182" s="12"/>
      <c r="E182" s="12"/>
      <c r="F182" s="11"/>
      <c r="G182" s="11"/>
      <c r="H182" s="10"/>
      <c r="I182" s="12"/>
      <c r="J182" s="12"/>
      <c r="K182" s="10"/>
      <c r="L182" s="12"/>
      <c r="M182" s="10"/>
      <c r="N182" s="10"/>
      <c r="O182" s="10"/>
      <c r="P182" s="10"/>
      <c r="Q182" s="12"/>
      <c r="R182" s="13"/>
      <c r="S182" s="13"/>
      <c r="T182" s="13"/>
      <c r="U182" s="10"/>
      <c r="V182" s="10"/>
      <c r="W182" s="12"/>
      <c r="X182" s="12"/>
      <c r="Y182" s="12"/>
    </row>
    <row r="183" spans="1:25" ht="15" x14ac:dyDescent="0.2">
      <c r="A183" s="10"/>
      <c r="B183" s="10"/>
      <c r="C183" s="10"/>
      <c r="D183" s="10"/>
      <c r="E183" s="12"/>
      <c r="F183" s="11"/>
      <c r="G183" s="11"/>
      <c r="H183" s="10"/>
      <c r="I183" s="12"/>
      <c r="J183" s="12"/>
      <c r="K183" s="10"/>
      <c r="L183" s="12"/>
      <c r="M183" s="12"/>
      <c r="N183" s="10"/>
      <c r="O183" s="10"/>
      <c r="P183" s="10"/>
      <c r="Q183" s="12"/>
      <c r="R183" s="13"/>
      <c r="S183" s="13"/>
      <c r="T183" s="13"/>
      <c r="U183" s="10"/>
      <c r="V183" s="10"/>
      <c r="W183" s="12"/>
      <c r="X183" s="12"/>
      <c r="Y183" s="12"/>
    </row>
    <row r="184" spans="1:25" ht="15" x14ac:dyDescent="0.2">
      <c r="A184" s="10"/>
      <c r="B184" s="10"/>
      <c r="C184" s="10"/>
      <c r="D184" s="10"/>
      <c r="E184" s="12"/>
      <c r="F184" s="11"/>
      <c r="G184" s="11"/>
      <c r="H184" s="10"/>
      <c r="I184" s="12"/>
      <c r="J184" s="12"/>
      <c r="K184" s="10"/>
      <c r="L184" s="12"/>
      <c r="M184" s="12"/>
      <c r="N184" s="10"/>
      <c r="O184" s="10"/>
      <c r="P184" s="10"/>
      <c r="Q184" s="12"/>
      <c r="R184" s="13"/>
      <c r="S184" s="13"/>
      <c r="T184" s="13"/>
      <c r="U184" s="10"/>
      <c r="V184" s="10"/>
      <c r="W184" s="12"/>
      <c r="X184" s="12"/>
      <c r="Y184" s="12"/>
    </row>
    <row r="185" spans="1:25" ht="15" x14ac:dyDescent="0.2">
      <c r="A185" s="10"/>
      <c r="B185" s="10"/>
      <c r="C185" s="10"/>
      <c r="D185" s="12"/>
      <c r="E185" s="12"/>
      <c r="F185" s="11"/>
      <c r="G185" s="11"/>
      <c r="H185" s="10"/>
      <c r="I185" s="12"/>
      <c r="J185" s="12"/>
      <c r="K185" s="10"/>
      <c r="L185" s="12"/>
      <c r="M185" s="10"/>
      <c r="N185" s="10"/>
      <c r="O185" s="10"/>
      <c r="P185" s="10"/>
      <c r="Q185" s="12"/>
      <c r="R185" s="13"/>
      <c r="S185" s="13"/>
      <c r="T185" s="13"/>
      <c r="U185" s="10"/>
      <c r="V185" s="10"/>
      <c r="W185" s="12"/>
      <c r="X185" s="12"/>
      <c r="Y185" s="12"/>
    </row>
    <row r="186" spans="1:25" ht="15" x14ac:dyDescent="0.2">
      <c r="A186" s="10"/>
      <c r="B186" s="10"/>
      <c r="C186" s="10"/>
      <c r="D186" s="12"/>
      <c r="E186" s="12"/>
      <c r="F186" s="11"/>
      <c r="G186" s="11"/>
      <c r="H186" s="10"/>
      <c r="I186" s="12"/>
      <c r="J186" s="12"/>
      <c r="K186" s="10"/>
      <c r="L186" s="12"/>
      <c r="M186" s="10"/>
      <c r="N186" s="10"/>
      <c r="O186" s="10"/>
      <c r="P186" s="10"/>
      <c r="Q186" s="12"/>
      <c r="R186" s="13"/>
      <c r="S186" s="13"/>
      <c r="T186" s="13"/>
      <c r="U186" s="10"/>
      <c r="V186" s="10"/>
      <c r="W186" s="12"/>
      <c r="X186" s="12"/>
      <c r="Y186" s="12"/>
    </row>
    <row r="187" spans="1:25" ht="15" x14ac:dyDescent="0.2">
      <c r="A187" s="10"/>
      <c r="B187" s="10"/>
      <c r="C187" s="10"/>
      <c r="D187" s="12"/>
      <c r="E187" s="12"/>
      <c r="F187" s="11"/>
      <c r="G187" s="11"/>
      <c r="H187" s="10"/>
      <c r="I187" s="12"/>
      <c r="J187" s="12"/>
      <c r="K187" s="10"/>
      <c r="L187" s="12"/>
      <c r="M187" s="10"/>
      <c r="N187" s="10"/>
      <c r="O187" s="10"/>
      <c r="P187" s="10"/>
      <c r="Q187" s="12"/>
      <c r="R187" s="13"/>
      <c r="S187" s="13"/>
      <c r="T187" s="13"/>
      <c r="U187" s="10"/>
      <c r="V187" s="10"/>
      <c r="W187" s="12"/>
      <c r="X187" s="12"/>
      <c r="Y187" s="12"/>
    </row>
    <row r="188" spans="1:25" ht="15" x14ac:dyDescent="0.2">
      <c r="A188" s="10"/>
      <c r="B188" s="10"/>
      <c r="C188" s="10"/>
      <c r="D188" s="10"/>
      <c r="E188" s="12"/>
      <c r="F188" s="11"/>
      <c r="G188" s="11"/>
      <c r="H188" s="10"/>
      <c r="I188" s="12"/>
      <c r="J188" s="12"/>
      <c r="K188" s="10"/>
      <c r="L188" s="12"/>
      <c r="M188" s="12"/>
      <c r="N188" s="10"/>
      <c r="O188" s="10"/>
      <c r="P188" s="10"/>
      <c r="Q188" s="12"/>
      <c r="R188" s="13"/>
      <c r="S188" s="13"/>
      <c r="T188" s="13"/>
      <c r="U188" s="10"/>
      <c r="V188" s="10"/>
      <c r="W188" s="12"/>
      <c r="X188" s="12"/>
      <c r="Y188" s="12"/>
    </row>
    <row r="189" spans="1:25" ht="15" x14ac:dyDescent="0.2">
      <c r="A189" s="10"/>
      <c r="B189" s="10"/>
      <c r="C189" s="10"/>
      <c r="D189" s="10"/>
      <c r="E189" s="12"/>
      <c r="F189" s="11"/>
      <c r="G189" s="11"/>
      <c r="H189" s="10"/>
      <c r="I189" s="12"/>
      <c r="J189" s="12"/>
      <c r="K189" s="10"/>
      <c r="L189" s="12"/>
      <c r="M189" s="12"/>
      <c r="N189" s="10"/>
      <c r="O189" s="10"/>
      <c r="P189" s="10"/>
      <c r="Q189" s="12"/>
      <c r="R189" s="13"/>
      <c r="S189" s="13"/>
      <c r="T189" s="13"/>
      <c r="U189" s="10"/>
      <c r="V189" s="10"/>
      <c r="W189" s="12"/>
      <c r="X189" s="12"/>
      <c r="Y189" s="12"/>
    </row>
    <row r="190" spans="1:25" ht="15" x14ac:dyDescent="0.2">
      <c r="A190" s="10"/>
      <c r="B190" s="10"/>
      <c r="C190" s="10"/>
      <c r="D190" s="12"/>
      <c r="E190" s="12"/>
      <c r="F190" s="11"/>
      <c r="G190" s="11"/>
      <c r="H190" s="10"/>
      <c r="I190" s="12"/>
      <c r="J190" s="12"/>
      <c r="K190" s="10"/>
      <c r="L190" s="12"/>
      <c r="M190" s="10"/>
      <c r="N190" s="10"/>
      <c r="O190" s="10"/>
      <c r="P190" s="10"/>
      <c r="Q190" s="12"/>
      <c r="R190" s="13"/>
      <c r="S190" s="13"/>
      <c r="T190" s="13"/>
      <c r="U190" s="10"/>
      <c r="V190" s="10"/>
      <c r="W190" s="12"/>
      <c r="X190" s="12"/>
      <c r="Y190" s="12"/>
    </row>
    <row r="191" spans="1:25" ht="15" x14ac:dyDescent="0.2">
      <c r="A191" s="10"/>
      <c r="B191" s="10"/>
      <c r="C191" s="10"/>
      <c r="D191" s="12"/>
      <c r="E191" s="12"/>
      <c r="F191" s="11"/>
      <c r="G191" s="11"/>
      <c r="H191" s="10"/>
      <c r="I191" s="12"/>
      <c r="J191" s="12"/>
      <c r="K191" s="10"/>
      <c r="L191" s="12"/>
      <c r="M191" s="10"/>
      <c r="N191" s="10"/>
      <c r="O191" s="10"/>
      <c r="P191" s="10"/>
      <c r="Q191" s="12"/>
      <c r="R191" s="13"/>
      <c r="S191" s="13"/>
      <c r="T191" s="13"/>
      <c r="U191" s="10"/>
      <c r="V191" s="10"/>
      <c r="W191" s="12"/>
      <c r="X191" s="12"/>
      <c r="Y191" s="12"/>
    </row>
    <row r="192" spans="1:25" ht="15" x14ac:dyDescent="0.2">
      <c r="A192" s="10"/>
      <c r="B192" s="10"/>
      <c r="C192" s="10"/>
      <c r="D192" s="10"/>
      <c r="E192" s="12"/>
      <c r="F192" s="11"/>
      <c r="G192" s="10"/>
      <c r="H192" s="10"/>
      <c r="I192" s="12"/>
      <c r="J192" s="12"/>
      <c r="K192" s="10"/>
      <c r="L192" s="12"/>
      <c r="M192" s="10"/>
      <c r="N192" s="10"/>
      <c r="O192" s="10"/>
      <c r="P192" s="10"/>
      <c r="Q192" s="12"/>
      <c r="R192" s="10"/>
      <c r="S192" s="10"/>
      <c r="T192" s="10"/>
      <c r="U192" s="10"/>
      <c r="V192" s="10"/>
      <c r="W192" s="12"/>
      <c r="X192" s="12"/>
      <c r="Y192" s="12"/>
    </row>
    <row r="193" spans="1:25" ht="15" x14ac:dyDescent="0.2">
      <c r="A193" s="10"/>
      <c r="B193" s="10"/>
      <c r="C193" s="10"/>
      <c r="D193" s="10"/>
      <c r="E193" s="12"/>
      <c r="F193" s="11"/>
      <c r="G193" s="10"/>
      <c r="H193" s="10"/>
      <c r="I193" s="12"/>
      <c r="J193" s="12"/>
      <c r="K193" s="10"/>
      <c r="L193" s="12"/>
      <c r="M193" s="10"/>
      <c r="N193" s="10"/>
      <c r="O193" s="10"/>
      <c r="P193" s="10"/>
      <c r="Q193" s="12"/>
      <c r="R193" s="10"/>
      <c r="S193" s="10"/>
      <c r="T193" s="10"/>
      <c r="U193" s="10"/>
      <c r="V193" s="10"/>
      <c r="W193" s="12"/>
      <c r="X193" s="12"/>
      <c r="Y193" s="12"/>
    </row>
    <row r="194" spans="1:25" ht="15" x14ac:dyDescent="0.2">
      <c r="A194" s="10"/>
      <c r="B194" s="10"/>
      <c r="C194" s="10"/>
      <c r="D194" s="10"/>
      <c r="E194" s="12"/>
      <c r="F194" s="11"/>
      <c r="G194" s="11"/>
      <c r="H194" s="10"/>
      <c r="I194" s="12"/>
      <c r="J194" s="12"/>
      <c r="K194" s="10"/>
      <c r="L194" s="12"/>
      <c r="M194" s="12"/>
      <c r="N194" s="10"/>
      <c r="O194" s="10"/>
      <c r="P194" s="10"/>
      <c r="Q194" s="12"/>
      <c r="R194" s="13"/>
      <c r="S194" s="13"/>
      <c r="T194" s="13"/>
      <c r="U194" s="10"/>
      <c r="V194" s="10"/>
      <c r="W194" s="12"/>
      <c r="X194" s="12"/>
      <c r="Y194" s="12"/>
    </row>
    <row r="195" spans="1:25" ht="15" x14ac:dyDescent="0.2">
      <c r="A195" s="10"/>
      <c r="B195" s="10"/>
      <c r="C195" s="10"/>
      <c r="D195" s="10"/>
      <c r="E195" s="12"/>
      <c r="F195" s="11"/>
      <c r="G195" s="11"/>
      <c r="H195" s="10"/>
      <c r="I195" s="12"/>
      <c r="J195" s="12"/>
      <c r="K195" s="10"/>
      <c r="L195" s="12"/>
      <c r="M195" s="12"/>
      <c r="N195" s="10"/>
      <c r="O195" s="10"/>
      <c r="P195" s="10"/>
      <c r="Q195" s="12"/>
      <c r="R195" s="13"/>
      <c r="S195" s="13"/>
      <c r="T195" s="13"/>
      <c r="U195" s="10"/>
      <c r="V195" s="10"/>
      <c r="W195" s="12"/>
      <c r="X195" s="12"/>
      <c r="Y195" s="12"/>
    </row>
    <row r="196" spans="1:25" ht="15" x14ac:dyDescent="0.2">
      <c r="A196" s="10"/>
      <c r="B196" s="10"/>
      <c r="C196" s="10"/>
      <c r="D196" s="10"/>
      <c r="E196" s="12"/>
      <c r="F196" s="11"/>
      <c r="G196" s="11"/>
      <c r="H196" s="10"/>
      <c r="I196" s="12"/>
      <c r="J196" s="12"/>
      <c r="K196" s="10"/>
      <c r="L196" s="12"/>
      <c r="M196" s="12"/>
      <c r="N196" s="10"/>
      <c r="O196" s="10"/>
      <c r="P196" s="10"/>
      <c r="Q196" s="12"/>
      <c r="R196" s="13"/>
      <c r="S196" s="13"/>
      <c r="T196" s="13"/>
      <c r="U196" s="10"/>
      <c r="V196" s="10"/>
      <c r="W196" s="12"/>
      <c r="X196" s="12"/>
      <c r="Y196" s="12"/>
    </row>
    <row r="197" spans="1:25" ht="15" x14ac:dyDescent="0.2">
      <c r="A197" s="10"/>
      <c r="B197" s="10"/>
      <c r="C197" s="10"/>
      <c r="D197" s="10"/>
      <c r="E197" s="12"/>
      <c r="F197" s="11"/>
      <c r="G197" s="11"/>
      <c r="H197" s="10"/>
      <c r="I197" s="12"/>
      <c r="J197" s="12"/>
      <c r="K197" s="10"/>
      <c r="L197" s="12"/>
      <c r="M197" s="12"/>
      <c r="N197" s="10"/>
      <c r="O197" s="10"/>
      <c r="P197" s="10"/>
      <c r="Q197" s="12"/>
      <c r="R197" s="13"/>
      <c r="S197" s="13"/>
      <c r="T197" s="13"/>
      <c r="U197" s="10"/>
      <c r="V197" s="10"/>
      <c r="W197" s="12"/>
      <c r="X197" s="12"/>
      <c r="Y197" s="12"/>
    </row>
    <row r="198" spans="1:25" ht="15" x14ac:dyDescent="0.2">
      <c r="A198" s="10"/>
      <c r="B198" s="10"/>
      <c r="C198" s="10"/>
      <c r="D198" s="10"/>
      <c r="E198" s="12"/>
      <c r="F198" s="11"/>
      <c r="G198" s="11"/>
      <c r="H198" s="10"/>
      <c r="I198" s="12"/>
      <c r="J198" s="12"/>
      <c r="K198" s="10"/>
      <c r="L198" s="12"/>
      <c r="M198" s="12"/>
      <c r="N198" s="10"/>
      <c r="O198" s="10"/>
      <c r="P198" s="10"/>
      <c r="Q198" s="12"/>
      <c r="R198" s="13"/>
      <c r="S198" s="13"/>
      <c r="T198" s="13"/>
      <c r="U198" s="10"/>
      <c r="V198" s="10"/>
      <c r="W198" s="12"/>
      <c r="X198" s="12"/>
      <c r="Y198" s="12"/>
    </row>
    <row r="199" spans="1:25" ht="15" x14ac:dyDescent="0.2">
      <c r="A199" s="10"/>
      <c r="B199" s="10"/>
      <c r="C199" s="10"/>
      <c r="D199" s="10"/>
      <c r="E199" s="12"/>
      <c r="F199" s="11"/>
      <c r="G199" s="10"/>
      <c r="H199" s="10"/>
      <c r="I199" s="12"/>
      <c r="J199" s="12"/>
      <c r="K199" s="10"/>
      <c r="L199" s="12"/>
      <c r="M199" s="12"/>
      <c r="N199" s="10"/>
      <c r="O199" s="10"/>
      <c r="P199" s="10"/>
      <c r="Q199" s="12"/>
      <c r="R199" s="10"/>
      <c r="S199" s="10"/>
      <c r="T199" s="10"/>
      <c r="U199" s="10"/>
      <c r="V199" s="10"/>
      <c r="W199" s="12"/>
      <c r="X199" s="12"/>
      <c r="Y199" s="12"/>
    </row>
    <row r="200" spans="1:25" ht="15" x14ac:dyDescent="0.2">
      <c r="A200" s="10"/>
      <c r="B200" s="10"/>
      <c r="C200" s="10"/>
      <c r="D200" s="10"/>
      <c r="E200" s="12"/>
      <c r="F200" s="11"/>
      <c r="G200" s="11"/>
      <c r="H200" s="10"/>
      <c r="I200" s="12"/>
      <c r="J200" s="12"/>
      <c r="K200" s="10"/>
      <c r="L200" s="12"/>
      <c r="M200" s="10"/>
      <c r="N200" s="12"/>
      <c r="O200" s="10"/>
      <c r="P200" s="10"/>
      <c r="Q200" s="12"/>
      <c r="R200" s="10"/>
      <c r="S200" s="10"/>
      <c r="T200" s="10"/>
      <c r="U200" s="10"/>
      <c r="V200" s="10"/>
      <c r="W200" s="12"/>
      <c r="X200" s="12"/>
      <c r="Y200" s="12"/>
    </row>
    <row r="201" spans="1:25" ht="15" x14ac:dyDescent="0.2">
      <c r="A201" s="10"/>
      <c r="B201" s="10"/>
      <c r="C201" s="10"/>
      <c r="D201" s="10"/>
      <c r="E201" s="12"/>
      <c r="F201" s="11"/>
      <c r="G201" s="11"/>
      <c r="H201" s="10"/>
      <c r="I201" s="12"/>
      <c r="J201" s="12"/>
      <c r="K201" s="10"/>
      <c r="L201" s="12"/>
      <c r="M201" s="10"/>
      <c r="N201" s="12"/>
      <c r="O201" s="10"/>
      <c r="P201" s="10"/>
      <c r="Q201" s="12"/>
      <c r="R201" s="10"/>
      <c r="S201" s="10"/>
      <c r="T201" s="10"/>
      <c r="U201" s="10"/>
      <c r="V201" s="10"/>
      <c r="W201" s="12"/>
      <c r="X201" s="12"/>
      <c r="Y201" s="12"/>
    </row>
    <row r="202" spans="1:25" ht="15" x14ac:dyDescent="0.2">
      <c r="A202" s="10"/>
      <c r="B202" s="10"/>
      <c r="C202" s="10"/>
      <c r="D202" s="10"/>
      <c r="E202" s="12"/>
      <c r="F202" s="11"/>
      <c r="G202" s="11"/>
      <c r="H202" s="10"/>
      <c r="I202" s="12"/>
      <c r="J202" s="12"/>
      <c r="K202" s="10"/>
      <c r="L202" s="12"/>
      <c r="M202" s="10"/>
      <c r="N202" s="12"/>
      <c r="O202" s="10"/>
      <c r="P202" s="10"/>
      <c r="Q202" s="12"/>
      <c r="R202" s="10"/>
      <c r="S202" s="10"/>
      <c r="T202" s="10"/>
      <c r="U202" s="10"/>
      <c r="V202" s="10"/>
      <c r="W202" s="12"/>
      <c r="X202" s="12"/>
      <c r="Y202" s="12"/>
    </row>
    <row r="203" spans="1:25" ht="15" x14ac:dyDescent="0.2">
      <c r="A203" s="10"/>
      <c r="B203" s="10"/>
      <c r="C203" s="10"/>
      <c r="D203" s="10"/>
      <c r="E203" s="12"/>
      <c r="F203" s="11"/>
      <c r="G203" s="11"/>
      <c r="H203" s="10"/>
      <c r="I203" s="12"/>
      <c r="J203" s="12"/>
      <c r="K203" s="10"/>
      <c r="L203" s="12"/>
      <c r="M203" s="10"/>
      <c r="N203" s="12"/>
      <c r="O203" s="10"/>
      <c r="P203" s="10"/>
      <c r="Q203" s="12"/>
      <c r="R203" s="10"/>
      <c r="S203" s="10"/>
      <c r="T203" s="10"/>
      <c r="U203" s="10"/>
      <c r="V203" s="10"/>
      <c r="W203" s="12"/>
      <c r="X203" s="12"/>
      <c r="Y203" s="12"/>
    </row>
    <row r="204" spans="1:25" ht="15" x14ac:dyDescent="0.2">
      <c r="A204" s="10"/>
      <c r="B204" s="10"/>
      <c r="C204" s="10"/>
      <c r="D204" s="10"/>
      <c r="E204" s="12"/>
      <c r="F204" s="11"/>
      <c r="G204" s="11"/>
      <c r="H204" s="10"/>
      <c r="I204" s="12"/>
      <c r="J204" s="12"/>
      <c r="K204" s="10"/>
      <c r="L204" s="12"/>
      <c r="M204" s="12"/>
      <c r="N204" s="10"/>
      <c r="O204" s="10"/>
      <c r="P204" s="10"/>
      <c r="Q204" s="12"/>
      <c r="R204" s="13"/>
      <c r="S204" s="13"/>
      <c r="T204" s="13"/>
      <c r="U204" s="10"/>
      <c r="V204" s="10"/>
      <c r="W204" s="12"/>
      <c r="X204" s="12"/>
      <c r="Y204" s="12"/>
    </row>
    <row r="205" spans="1:25" ht="15" x14ac:dyDescent="0.2">
      <c r="A205" s="10"/>
      <c r="B205" s="10"/>
      <c r="C205" s="10"/>
      <c r="D205" s="10"/>
      <c r="E205" s="12"/>
      <c r="F205" s="11"/>
      <c r="G205" s="11"/>
      <c r="H205" s="10"/>
      <c r="I205" s="12"/>
      <c r="J205" s="12"/>
      <c r="K205" s="10"/>
      <c r="L205" s="12"/>
      <c r="M205" s="10"/>
      <c r="N205" s="12"/>
      <c r="O205" s="10"/>
      <c r="P205" s="10"/>
      <c r="Q205" s="12"/>
      <c r="R205" s="10"/>
      <c r="S205" s="10"/>
      <c r="T205" s="10"/>
      <c r="U205" s="10"/>
      <c r="V205" s="10"/>
      <c r="W205" s="12"/>
      <c r="X205" s="12"/>
      <c r="Y205" s="12"/>
    </row>
    <row r="206" spans="1:25" ht="15" x14ac:dyDescent="0.2">
      <c r="A206" s="10"/>
      <c r="B206" s="10"/>
      <c r="C206" s="10"/>
      <c r="D206" s="10"/>
      <c r="E206" s="12"/>
      <c r="F206" s="11"/>
      <c r="G206" s="11"/>
      <c r="H206" s="10"/>
      <c r="I206" s="12"/>
      <c r="J206" s="12"/>
      <c r="K206" s="10"/>
      <c r="L206" s="12"/>
      <c r="M206" s="10"/>
      <c r="N206" s="12"/>
      <c r="O206" s="10"/>
      <c r="P206" s="10"/>
      <c r="Q206" s="12"/>
      <c r="R206" s="10"/>
      <c r="S206" s="10"/>
      <c r="T206" s="10"/>
      <c r="U206" s="10"/>
      <c r="V206" s="10"/>
      <c r="W206" s="12"/>
      <c r="X206" s="12"/>
      <c r="Y206" s="12"/>
    </row>
    <row r="207" spans="1:25" ht="15" x14ac:dyDescent="0.2">
      <c r="A207" s="10"/>
      <c r="B207" s="10"/>
      <c r="C207" s="10"/>
      <c r="D207" s="10"/>
      <c r="E207" s="12"/>
      <c r="F207" s="11"/>
      <c r="G207" s="11"/>
      <c r="H207" s="10"/>
      <c r="I207" s="12"/>
      <c r="J207" s="12"/>
      <c r="K207" s="10"/>
      <c r="L207" s="12"/>
      <c r="M207" s="10"/>
      <c r="N207" s="12"/>
      <c r="O207" s="10"/>
      <c r="P207" s="10"/>
      <c r="Q207" s="12"/>
      <c r="R207" s="10"/>
      <c r="S207" s="10"/>
      <c r="T207" s="10"/>
      <c r="U207" s="10"/>
      <c r="V207" s="10"/>
      <c r="W207" s="12"/>
      <c r="X207" s="12"/>
      <c r="Y207" s="12"/>
    </row>
    <row r="208" spans="1:25" ht="15" x14ac:dyDescent="0.2">
      <c r="A208" s="10"/>
      <c r="B208" s="10"/>
      <c r="C208" s="10"/>
      <c r="D208" s="10"/>
      <c r="E208" s="12"/>
      <c r="F208" s="11"/>
      <c r="G208" s="11"/>
      <c r="H208" s="10"/>
      <c r="I208" s="12"/>
      <c r="J208" s="12"/>
      <c r="K208" s="10"/>
      <c r="L208" s="12"/>
      <c r="M208" s="10"/>
      <c r="N208" s="12"/>
      <c r="O208" s="10"/>
      <c r="P208" s="10"/>
      <c r="Q208" s="12"/>
      <c r="R208" s="10"/>
      <c r="S208" s="10"/>
      <c r="T208" s="10"/>
      <c r="U208" s="10"/>
      <c r="V208" s="10"/>
      <c r="W208" s="12"/>
      <c r="X208" s="12"/>
      <c r="Y208" s="12"/>
    </row>
    <row r="209" spans="1:25" ht="15" x14ac:dyDescent="0.2">
      <c r="A209" s="10"/>
      <c r="B209" s="10"/>
      <c r="C209" s="10"/>
      <c r="D209" s="10"/>
      <c r="E209" s="12"/>
      <c r="F209" s="11"/>
      <c r="G209" s="11"/>
      <c r="H209" s="10"/>
      <c r="I209" s="12"/>
      <c r="J209" s="12"/>
      <c r="K209" s="10"/>
      <c r="L209" s="12"/>
      <c r="M209" s="12"/>
      <c r="N209" s="10"/>
      <c r="O209" s="10"/>
      <c r="P209" s="10"/>
      <c r="Q209" s="12"/>
      <c r="R209" s="13"/>
      <c r="S209" s="13"/>
      <c r="T209" s="13"/>
      <c r="U209" s="10"/>
      <c r="V209" s="10"/>
      <c r="W209" s="12"/>
      <c r="X209" s="12"/>
      <c r="Y209" s="12"/>
    </row>
    <row r="210" spans="1:25" ht="15" x14ac:dyDescent="0.2">
      <c r="A210" s="10"/>
      <c r="B210" s="10"/>
      <c r="C210" s="10"/>
      <c r="D210" s="10"/>
      <c r="E210" s="12"/>
      <c r="F210" s="11"/>
      <c r="G210" s="11"/>
      <c r="H210" s="10"/>
      <c r="I210" s="12"/>
      <c r="J210" s="12"/>
      <c r="K210" s="10"/>
      <c r="L210" s="12"/>
      <c r="M210" s="12"/>
      <c r="N210" s="10"/>
      <c r="O210" s="10"/>
      <c r="P210" s="10"/>
      <c r="Q210" s="12"/>
      <c r="R210" s="13"/>
      <c r="S210" s="13"/>
      <c r="T210" s="13"/>
      <c r="U210" s="10"/>
      <c r="V210" s="10"/>
      <c r="W210" s="12"/>
      <c r="X210" s="12"/>
      <c r="Y210" s="12"/>
    </row>
    <row r="211" spans="1:25" ht="15" x14ac:dyDescent="0.2">
      <c r="A211" s="10"/>
      <c r="B211" s="10"/>
      <c r="C211" s="10"/>
      <c r="D211" s="10"/>
      <c r="E211" s="12"/>
      <c r="F211" s="11"/>
      <c r="G211" s="11"/>
      <c r="H211" s="10"/>
      <c r="I211" s="12"/>
      <c r="J211" s="12"/>
      <c r="K211" s="10"/>
      <c r="L211" s="12"/>
      <c r="M211" s="12"/>
      <c r="N211" s="10"/>
      <c r="O211" s="10"/>
      <c r="P211" s="10"/>
      <c r="Q211" s="12"/>
      <c r="R211" s="13"/>
      <c r="S211" s="13"/>
      <c r="T211" s="13"/>
      <c r="U211" s="10"/>
      <c r="V211" s="10"/>
      <c r="W211" s="12"/>
      <c r="X211" s="12"/>
      <c r="Y211" s="12"/>
    </row>
    <row r="212" spans="1:25" ht="15" x14ac:dyDescent="0.2">
      <c r="A212" s="10"/>
      <c r="B212" s="10"/>
      <c r="C212" s="10"/>
      <c r="D212" s="10"/>
      <c r="E212" s="12"/>
      <c r="F212" s="11"/>
      <c r="G212" s="11"/>
      <c r="H212" s="10"/>
      <c r="I212" s="12"/>
      <c r="J212" s="12"/>
      <c r="K212" s="10"/>
      <c r="L212" s="12"/>
      <c r="M212" s="12"/>
      <c r="N212" s="10"/>
      <c r="O212" s="10"/>
      <c r="P212" s="10"/>
      <c r="Q212" s="12"/>
      <c r="R212" s="13"/>
      <c r="S212" s="13"/>
      <c r="T212" s="13"/>
      <c r="U212" s="10"/>
      <c r="V212" s="10"/>
      <c r="W212" s="12"/>
      <c r="X212" s="12"/>
      <c r="Y212" s="12"/>
    </row>
    <row r="213" spans="1:25" ht="15" x14ac:dyDescent="0.2">
      <c r="A213" s="10"/>
      <c r="B213" s="10"/>
      <c r="C213" s="10"/>
      <c r="D213" s="10"/>
      <c r="E213" s="12"/>
      <c r="F213" s="11"/>
      <c r="G213" s="11"/>
      <c r="H213" s="10"/>
      <c r="I213" s="12"/>
      <c r="J213" s="12"/>
      <c r="K213" s="10"/>
      <c r="L213" s="12"/>
      <c r="M213" s="12"/>
      <c r="N213" s="10"/>
      <c r="O213" s="10"/>
      <c r="P213" s="10"/>
      <c r="Q213" s="12"/>
      <c r="R213" s="13"/>
      <c r="S213" s="13"/>
      <c r="T213" s="13"/>
      <c r="U213" s="10"/>
      <c r="V213" s="10"/>
      <c r="W213" s="12"/>
      <c r="X213" s="12"/>
      <c r="Y213" s="12"/>
    </row>
    <row r="214" spans="1:25" ht="15" x14ac:dyDescent="0.2">
      <c r="A214" s="10"/>
      <c r="B214" s="10"/>
      <c r="C214" s="10"/>
      <c r="D214" s="10"/>
      <c r="E214" s="12"/>
      <c r="F214" s="11"/>
      <c r="G214" s="11"/>
      <c r="H214" s="10"/>
      <c r="I214" s="12"/>
      <c r="J214" s="12"/>
      <c r="K214" s="10"/>
      <c r="L214" s="12"/>
      <c r="M214" s="12"/>
      <c r="N214" s="10"/>
      <c r="O214" s="10"/>
      <c r="P214" s="10"/>
      <c r="Q214" s="12"/>
      <c r="R214" s="13"/>
      <c r="S214" s="13"/>
      <c r="T214" s="13"/>
      <c r="U214" s="10"/>
      <c r="V214" s="10"/>
      <c r="W214" s="12"/>
      <c r="X214" s="12"/>
      <c r="Y214" s="12"/>
    </row>
    <row r="215" spans="1:25" ht="15" x14ac:dyDescent="0.2">
      <c r="A215" s="10"/>
      <c r="B215" s="10"/>
      <c r="C215" s="10"/>
      <c r="D215" s="10"/>
      <c r="E215" s="12"/>
      <c r="F215" s="11"/>
      <c r="G215" s="11"/>
      <c r="H215" s="10"/>
      <c r="I215" s="12"/>
      <c r="J215" s="12"/>
      <c r="K215" s="10"/>
      <c r="L215" s="12"/>
      <c r="M215" s="12"/>
      <c r="N215" s="10"/>
      <c r="O215" s="10"/>
      <c r="P215" s="10"/>
      <c r="Q215" s="12"/>
      <c r="R215" s="13"/>
      <c r="S215" s="13"/>
      <c r="T215" s="13"/>
      <c r="U215" s="10"/>
      <c r="V215" s="10"/>
      <c r="W215" s="12"/>
      <c r="X215" s="12"/>
      <c r="Y215" s="12"/>
    </row>
    <row r="216" spans="1:25" ht="15" x14ac:dyDescent="0.2">
      <c r="A216" s="10"/>
      <c r="B216" s="10"/>
      <c r="C216" s="10"/>
      <c r="D216" s="10"/>
      <c r="E216" s="12"/>
      <c r="F216" s="11"/>
      <c r="G216" s="11"/>
      <c r="H216" s="10"/>
      <c r="I216" s="12"/>
      <c r="J216" s="12"/>
      <c r="K216" s="10"/>
      <c r="L216" s="12"/>
      <c r="M216" s="10"/>
      <c r="N216" s="12"/>
      <c r="O216" s="10"/>
      <c r="P216" s="10"/>
      <c r="Q216" s="12"/>
      <c r="R216" s="10"/>
      <c r="S216" s="10"/>
      <c r="T216" s="10"/>
      <c r="U216" s="10"/>
      <c r="V216" s="10"/>
      <c r="W216" s="12"/>
      <c r="X216" s="12"/>
      <c r="Y216" s="12"/>
    </row>
    <row r="217" spans="1:25" ht="15" x14ac:dyDescent="0.2">
      <c r="A217" s="10"/>
      <c r="B217" s="10"/>
      <c r="C217" s="10"/>
      <c r="D217" s="10"/>
      <c r="E217" s="12"/>
      <c r="F217" s="11"/>
      <c r="G217" s="11"/>
      <c r="H217" s="10"/>
      <c r="I217" s="12"/>
      <c r="J217" s="12"/>
      <c r="K217" s="10"/>
      <c r="L217" s="12"/>
      <c r="M217" s="10"/>
      <c r="N217" s="12"/>
      <c r="O217" s="10"/>
      <c r="P217" s="10"/>
      <c r="Q217" s="12"/>
      <c r="R217" s="10"/>
      <c r="S217" s="10"/>
      <c r="T217" s="10"/>
      <c r="U217" s="10"/>
      <c r="V217" s="10"/>
      <c r="W217" s="12"/>
      <c r="X217" s="12"/>
      <c r="Y217" s="12"/>
    </row>
    <row r="218" spans="1:25" ht="15" x14ac:dyDescent="0.2">
      <c r="A218" s="10"/>
      <c r="B218" s="10"/>
      <c r="C218" s="10"/>
      <c r="D218" s="10"/>
      <c r="E218" s="12"/>
      <c r="F218" s="11"/>
      <c r="G218" s="11"/>
      <c r="H218" s="10"/>
      <c r="I218" s="12"/>
      <c r="J218" s="12"/>
      <c r="K218" s="10"/>
      <c r="L218" s="12"/>
      <c r="M218" s="10"/>
      <c r="N218" s="12"/>
      <c r="O218" s="10"/>
      <c r="P218" s="10"/>
      <c r="Q218" s="12"/>
      <c r="R218" s="10"/>
      <c r="S218" s="10"/>
      <c r="T218" s="10"/>
      <c r="U218" s="10"/>
      <c r="V218" s="10"/>
      <c r="W218" s="12"/>
      <c r="X218" s="12"/>
      <c r="Y218" s="12"/>
    </row>
    <row r="219" spans="1:25" ht="15" x14ac:dyDescent="0.2">
      <c r="A219" s="10"/>
      <c r="B219" s="10"/>
      <c r="C219" s="10"/>
      <c r="D219" s="10"/>
      <c r="E219" s="12"/>
      <c r="F219" s="11"/>
      <c r="G219" s="11"/>
      <c r="H219" s="11"/>
      <c r="I219" s="12"/>
      <c r="J219" s="12"/>
      <c r="K219" s="10"/>
      <c r="L219" s="12"/>
      <c r="M219" s="10"/>
      <c r="N219" s="12"/>
      <c r="O219" s="10"/>
      <c r="P219" s="10"/>
      <c r="Q219" s="12"/>
      <c r="R219" s="10"/>
      <c r="S219" s="10"/>
      <c r="T219" s="10"/>
      <c r="U219" s="10"/>
      <c r="V219" s="10"/>
      <c r="W219" s="12"/>
      <c r="X219" s="12"/>
      <c r="Y219" s="12"/>
    </row>
    <row r="220" spans="1:25" ht="15" x14ac:dyDescent="0.2">
      <c r="A220" s="10"/>
      <c r="B220" s="10"/>
      <c r="C220" s="10"/>
      <c r="D220" s="10"/>
      <c r="E220" s="12"/>
      <c r="F220" s="11"/>
      <c r="G220" s="11"/>
      <c r="H220" s="11"/>
      <c r="I220" s="12"/>
      <c r="J220" s="12"/>
      <c r="K220" s="10"/>
      <c r="L220" s="12"/>
      <c r="M220" s="10"/>
      <c r="N220" s="12"/>
      <c r="O220" s="10"/>
      <c r="P220" s="10"/>
      <c r="Q220" s="12"/>
      <c r="R220" s="10"/>
      <c r="S220" s="10"/>
      <c r="T220" s="10"/>
      <c r="U220" s="10"/>
      <c r="V220" s="10"/>
      <c r="W220" s="12"/>
      <c r="X220" s="12"/>
      <c r="Y220" s="12"/>
    </row>
    <row r="221" spans="1:25" ht="15" x14ac:dyDescent="0.2">
      <c r="A221" s="10"/>
      <c r="B221" s="10"/>
      <c r="C221" s="10"/>
      <c r="D221" s="12"/>
      <c r="E221" s="12"/>
      <c r="F221" s="11"/>
      <c r="G221" s="11"/>
      <c r="H221" s="10"/>
      <c r="I221" s="12"/>
      <c r="J221" s="12"/>
      <c r="K221" s="10"/>
      <c r="L221" s="12"/>
      <c r="M221" s="10"/>
      <c r="N221" s="10"/>
      <c r="O221" s="10"/>
      <c r="P221" s="10"/>
      <c r="Q221" s="12"/>
      <c r="R221" s="13"/>
      <c r="S221" s="13"/>
      <c r="T221" s="13"/>
      <c r="U221" s="10"/>
      <c r="V221" s="10"/>
      <c r="W221" s="12"/>
      <c r="X221" s="12"/>
      <c r="Y221" s="12"/>
    </row>
    <row r="222" spans="1:25" ht="15" x14ac:dyDescent="0.2">
      <c r="A222" s="10"/>
      <c r="B222" s="10"/>
      <c r="C222" s="10"/>
      <c r="D222" s="12"/>
      <c r="E222" s="12"/>
      <c r="F222" s="11"/>
      <c r="G222" s="11"/>
      <c r="H222" s="10"/>
      <c r="I222" s="12"/>
      <c r="J222" s="12"/>
      <c r="K222" s="10"/>
      <c r="L222" s="12"/>
      <c r="M222" s="10"/>
      <c r="N222" s="10"/>
      <c r="O222" s="10"/>
      <c r="P222" s="10"/>
      <c r="Q222" s="12"/>
      <c r="R222" s="13"/>
      <c r="S222" s="13"/>
      <c r="T222" s="13"/>
      <c r="U222" s="10"/>
      <c r="V222" s="10"/>
      <c r="W222" s="12"/>
      <c r="X222" s="12"/>
      <c r="Y222" s="12"/>
    </row>
    <row r="223" spans="1:25" ht="15" x14ac:dyDescent="0.2">
      <c r="A223" s="10"/>
      <c r="B223" s="10"/>
      <c r="C223" s="10"/>
      <c r="D223" s="10"/>
      <c r="E223" s="12"/>
      <c r="F223" s="11"/>
      <c r="G223" s="11"/>
      <c r="H223" s="10"/>
      <c r="I223" s="12"/>
      <c r="J223" s="12"/>
      <c r="K223" s="10"/>
      <c r="L223" s="12"/>
      <c r="M223" s="10"/>
      <c r="N223" s="12"/>
      <c r="O223" s="10"/>
      <c r="P223" s="10"/>
      <c r="Q223" s="12"/>
      <c r="R223" s="10"/>
      <c r="S223" s="10"/>
      <c r="T223" s="10"/>
      <c r="U223" s="10"/>
      <c r="V223" s="10"/>
      <c r="W223" s="12"/>
      <c r="X223" s="12"/>
      <c r="Y223" s="12"/>
    </row>
    <row r="224" spans="1:25" ht="15" x14ac:dyDescent="0.2">
      <c r="A224" s="10"/>
      <c r="B224" s="10"/>
      <c r="C224" s="10"/>
      <c r="D224" s="10"/>
      <c r="E224" s="12"/>
      <c r="F224" s="11"/>
      <c r="G224" s="11"/>
      <c r="H224" s="11"/>
      <c r="I224" s="12"/>
      <c r="J224" s="12"/>
      <c r="K224" s="10"/>
      <c r="L224" s="12"/>
      <c r="M224" s="10"/>
      <c r="N224" s="12"/>
      <c r="O224" s="10"/>
      <c r="P224" s="10"/>
      <c r="Q224" s="12"/>
      <c r="R224" s="10"/>
      <c r="S224" s="10"/>
      <c r="T224" s="10"/>
      <c r="U224" s="10"/>
      <c r="V224" s="10"/>
      <c r="W224" s="12"/>
      <c r="X224" s="12"/>
      <c r="Y224" s="12"/>
    </row>
    <row r="225" spans="1:25" ht="15" x14ac:dyDescent="0.2">
      <c r="A225" s="10"/>
      <c r="B225" s="10"/>
      <c r="C225" s="10"/>
      <c r="D225" s="12"/>
      <c r="E225" s="12"/>
      <c r="F225" s="11"/>
      <c r="G225" s="11"/>
      <c r="H225" s="10"/>
      <c r="I225" s="12"/>
      <c r="J225" s="12"/>
      <c r="K225" s="10"/>
      <c r="L225" s="12"/>
      <c r="M225" s="10"/>
      <c r="N225" s="10"/>
      <c r="O225" s="10"/>
      <c r="P225" s="10"/>
      <c r="Q225" s="12"/>
      <c r="R225" s="13"/>
      <c r="S225" s="13"/>
      <c r="T225" s="13"/>
      <c r="U225" s="10"/>
      <c r="V225" s="10"/>
      <c r="W225" s="12"/>
      <c r="X225" s="12"/>
      <c r="Y225" s="12"/>
    </row>
    <row r="226" spans="1:25" ht="15" x14ac:dyDescent="0.2">
      <c r="A226" s="10"/>
      <c r="B226" s="10"/>
      <c r="C226" s="10"/>
      <c r="D226" s="10"/>
      <c r="E226" s="12"/>
      <c r="F226" s="11"/>
      <c r="G226" s="11"/>
      <c r="H226" s="10"/>
      <c r="I226" s="12"/>
      <c r="J226" s="12"/>
      <c r="K226" s="10"/>
      <c r="L226" s="12"/>
      <c r="M226" s="10"/>
      <c r="N226" s="10"/>
      <c r="O226" s="10"/>
      <c r="P226" s="10"/>
      <c r="Q226" s="12"/>
      <c r="R226" s="13"/>
      <c r="S226" s="13"/>
      <c r="T226" s="13"/>
      <c r="U226" s="10"/>
      <c r="V226" s="10"/>
      <c r="W226" s="12"/>
      <c r="X226" s="12"/>
      <c r="Y226" s="12"/>
    </row>
    <row r="227" spans="1:25" ht="15" x14ac:dyDescent="0.2">
      <c r="A227" s="10"/>
      <c r="B227" s="10"/>
      <c r="C227" s="10"/>
      <c r="D227" s="10"/>
      <c r="E227" s="12"/>
      <c r="F227" s="11"/>
      <c r="G227" s="11"/>
      <c r="H227" s="10"/>
      <c r="I227" s="12"/>
      <c r="J227" s="12"/>
      <c r="K227" s="10"/>
      <c r="L227" s="12"/>
      <c r="M227" s="10"/>
      <c r="N227" s="10"/>
      <c r="O227" s="10"/>
      <c r="P227" s="10"/>
      <c r="Q227" s="12"/>
      <c r="R227" s="13"/>
      <c r="S227" s="13"/>
      <c r="T227" s="13"/>
      <c r="U227" s="10"/>
      <c r="V227" s="10"/>
      <c r="W227" s="12"/>
      <c r="X227" s="12"/>
      <c r="Y227" s="12"/>
    </row>
    <row r="228" spans="1:25" ht="15" x14ac:dyDescent="0.2">
      <c r="A228" s="10"/>
      <c r="B228" s="10"/>
      <c r="C228" s="10"/>
      <c r="D228" s="10"/>
      <c r="E228" s="12"/>
      <c r="F228" s="11"/>
      <c r="G228" s="11"/>
      <c r="H228" s="10"/>
      <c r="I228" s="12"/>
      <c r="J228" s="12"/>
      <c r="K228" s="10"/>
      <c r="L228" s="12"/>
      <c r="M228" s="10"/>
      <c r="N228" s="10"/>
      <c r="O228" s="10"/>
      <c r="P228" s="10"/>
      <c r="Q228" s="12"/>
      <c r="R228" s="13"/>
      <c r="S228" s="13"/>
      <c r="T228" s="13"/>
      <c r="U228" s="10"/>
      <c r="V228" s="10"/>
      <c r="W228" s="12"/>
      <c r="X228" s="12"/>
      <c r="Y228" s="12"/>
    </row>
    <row r="229" spans="1:25" ht="15" x14ac:dyDescent="0.2">
      <c r="A229" s="10"/>
      <c r="B229" s="10"/>
      <c r="C229" s="10"/>
      <c r="D229" s="12"/>
      <c r="E229" s="12"/>
      <c r="F229" s="11"/>
      <c r="G229" s="11"/>
      <c r="H229" s="10"/>
      <c r="I229" s="12"/>
      <c r="J229" s="12"/>
      <c r="K229" s="10"/>
      <c r="L229" s="12"/>
      <c r="M229" s="10"/>
      <c r="N229" s="10"/>
      <c r="O229" s="10"/>
      <c r="P229" s="10"/>
      <c r="Q229" s="12"/>
      <c r="R229" s="13"/>
      <c r="S229" s="13"/>
      <c r="T229" s="13"/>
      <c r="U229" s="10"/>
      <c r="V229" s="10"/>
      <c r="W229" s="12"/>
      <c r="X229" s="12"/>
      <c r="Y229" s="12"/>
    </row>
    <row r="230" spans="1:25" ht="15" x14ac:dyDescent="0.2">
      <c r="A230" s="10"/>
      <c r="B230" s="10"/>
      <c r="C230" s="10"/>
      <c r="D230" s="12"/>
      <c r="E230" s="12"/>
      <c r="F230" s="11"/>
      <c r="G230" s="11"/>
      <c r="H230" s="10"/>
      <c r="I230" s="12"/>
      <c r="J230" s="12"/>
      <c r="K230" s="10"/>
      <c r="L230" s="12"/>
      <c r="M230" s="10"/>
      <c r="N230" s="10"/>
      <c r="O230" s="10"/>
      <c r="P230" s="10"/>
      <c r="Q230" s="12"/>
      <c r="R230" s="13"/>
      <c r="S230" s="13"/>
      <c r="T230" s="13"/>
      <c r="U230" s="10"/>
      <c r="V230" s="10"/>
      <c r="W230" s="12"/>
      <c r="X230" s="12"/>
      <c r="Y230" s="12"/>
    </row>
    <row r="231" spans="1:25" ht="15" x14ac:dyDescent="0.2">
      <c r="A231" s="10"/>
      <c r="B231" s="10"/>
      <c r="C231" s="10"/>
      <c r="D231" s="10"/>
      <c r="E231" s="12"/>
      <c r="F231" s="11"/>
      <c r="G231" s="11"/>
      <c r="H231" s="10"/>
      <c r="I231" s="12"/>
      <c r="J231" s="12"/>
      <c r="K231" s="10"/>
      <c r="L231" s="12"/>
      <c r="M231" s="12"/>
      <c r="N231" s="10"/>
      <c r="O231" s="10"/>
      <c r="P231" s="10"/>
      <c r="Q231" s="12"/>
      <c r="R231" s="13"/>
      <c r="S231" s="13"/>
      <c r="T231" s="13"/>
      <c r="U231" s="10"/>
      <c r="V231" s="10"/>
      <c r="W231" s="12"/>
      <c r="X231" s="12"/>
      <c r="Y231" s="12"/>
    </row>
    <row r="232" spans="1:25" ht="15" x14ac:dyDescent="0.2">
      <c r="A232" s="10"/>
      <c r="B232" s="10"/>
      <c r="C232" s="10"/>
      <c r="D232" s="10"/>
      <c r="E232" s="12"/>
      <c r="F232" s="11"/>
      <c r="G232" s="11"/>
      <c r="H232" s="10"/>
      <c r="I232" s="12"/>
      <c r="J232" s="12"/>
      <c r="K232" s="10"/>
      <c r="L232" s="12"/>
      <c r="M232" s="10"/>
      <c r="N232" s="10"/>
      <c r="O232" s="10"/>
      <c r="P232" s="10"/>
      <c r="Q232" s="12"/>
      <c r="R232" s="13"/>
      <c r="S232" s="13"/>
      <c r="T232" s="13"/>
      <c r="U232" s="10"/>
      <c r="V232" s="10"/>
      <c r="W232" s="12"/>
      <c r="X232" s="12"/>
      <c r="Y232" s="12"/>
    </row>
    <row r="233" spans="1:25" ht="15" x14ac:dyDescent="0.2">
      <c r="A233" s="10"/>
      <c r="B233" s="10"/>
      <c r="C233" s="10"/>
      <c r="D233" s="10"/>
      <c r="E233" s="12"/>
      <c r="F233" s="11"/>
      <c r="G233" s="11"/>
      <c r="H233" s="10"/>
      <c r="I233" s="12"/>
      <c r="J233" s="12"/>
      <c r="K233" s="10"/>
      <c r="L233" s="12"/>
      <c r="M233" s="10"/>
      <c r="N233" s="10"/>
      <c r="O233" s="10"/>
      <c r="P233" s="10"/>
      <c r="Q233" s="12"/>
      <c r="R233" s="13"/>
      <c r="S233" s="13"/>
      <c r="T233" s="13"/>
      <c r="U233" s="10"/>
      <c r="V233" s="10"/>
      <c r="W233" s="12"/>
      <c r="X233" s="12"/>
      <c r="Y233" s="12"/>
    </row>
    <row r="234" spans="1:25" ht="15" x14ac:dyDescent="0.2">
      <c r="A234" s="10"/>
      <c r="B234" s="10"/>
      <c r="C234" s="10"/>
      <c r="D234" s="10"/>
      <c r="E234" s="12"/>
      <c r="F234" s="11"/>
      <c r="G234" s="11"/>
      <c r="H234" s="10"/>
      <c r="I234" s="12"/>
      <c r="J234" s="12"/>
      <c r="K234" s="10"/>
      <c r="L234" s="12"/>
      <c r="M234" s="10"/>
      <c r="N234" s="10"/>
      <c r="O234" s="10"/>
      <c r="P234" s="10"/>
      <c r="Q234" s="12"/>
      <c r="R234" s="10"/>
      <c r="S234" s="10"/>
      <c r="T234" s="10"/>
      <c r="U234" s="10"/>
      <c r="V234" s="10"/>
      <c r="W234" s="12"/>
      <c r="X234" s="12"/>
      <c r="Y234" s="12"/>
    </row>
    <row r="235" spans="1:25" ht="15" x14ac:dyDescent="0.2">
      <c r="A235" s="10"/>
      <c r="B235" s="10"/>
      <c r="C235" s="10"/>
      <c r="D235" s="10"/>
      <c r="E235" s="16"/>
      <c r="F235" s="11"/>
      <c r="G235" s="11"/>
      <c r="H235" s="10"/>
      <c r="I235" s="16"/>
      <c r="J235" s="16"/>
      <c r="K235" s="10"/>
      <c r="L235" s="16"/>
      <c r="M235" s="10"/>
      <c r="N235" s="10"/>
      <c r="O235" s="10"/>
      <c r="P235" s="10"/>
      <c r="Q235" s="16"/>
      <c r="R235" s="10"/>
      <c r="S235" s="10"/>
      <c r="T235" s="10"/>
      <c r="U235" s="10"/>
      <c r="V235" s="10"/>
      <c r="W235" s="16"/>
      <c r="X235" s="16"/>
      <c r="Y235" s="16"/>
    </row>
    <row r="236" spans="1:25" ht="15" x14ac:dyDescent="0.2">
      <c r="A236" s="10"/>
      <c r="B236" s="10"/>
      <c r="C236" s="10"/>
      <c r="D236" s="10"/>
      <c r="E236" s="12"/>
      <c r="F236" s="11"/>
      <c r="G236" s="11"/>
      <c r="H236" s="10"/>
      <c r="I236" s="12"/>
      <c r="J236" s="12"/>
      <c r="K236" s="10"/>
      <c r="L236" s="12"/>
      <c r="M236" s="10"/>
      <c r="N236" s="12"/>
      <c r="O236" s="10"/>
      <c r="P236" s="10"/>
      <c r="Q236" s="12"/>
      <c r="R236" s="10"/>
      <c r="S236" s="10"/>
      <c r="T236" s="10"/>
      <c r="U236" s="10"/>
      <c r="V236" s="10"/>
      <c r="W236" s="12"/>
      <c r="X236" s="12"/>
      <c r="Y236" s="12"/>
    </row>
    <row r="237" spans="1:25" ht="15" x14ac:dyDescent="0.2">
      <c r="A237" s="10"/>
      <c r="B237" s="10"/>
      <c r="C237" s="10"/>
      <c r="D237" s="10"/>
      <c r="E237" s="16"/>
      <c r="F237" s="11"/>
      <c r="G237" s="11"/>
      <c r="H237" s="10"/>
      <c r="I237" s="16"/>
      <c r="J237" s="16"/>
      <c r="K237" s="10"/>
      <c r="L237" s="16"/>
      <c r="M237" s="10"/>
      <c r="N237" s="16"/>
      <c r="O237" s="10"/>
      <c r="P237" s="10"/>
      <c r="Q237" s="16"/>
      <c r="R237" s="10"/>
      <c r="S237" s="10"/>
      <c r="T237" s="10"/>
      <c r="U237" s="10"/>
      <c r="V237" s="10"/>
      <c r="W237" s="16"/>
      <c r="X237" s="16"/>
      <c r="Y237" s="16"/>
    </row>
    <row r="238" spans="1:25" ht="15" x14ac:dyDescent="0.2">
      <c r="A238" s="10"/>
      <c r="B238" s="10"/>
      <c r="C238" s="10"/>
      <c r="D238" s="10"/>
      <c r="E238" s="12"/>
      <c r="F238" s="11"/>
      <c r="G238" s="11"/>
      <c r="H238" s="10"/>
      <c r="I238" s="12"/>
      <c r="J238" s="12"/>
      <c r="K238" s="10"/>
      <c r="L238" s="12"/>
      <c r="M238" s="12"/>
      <c r="N238" s="10"/>
      <c r="O238" s="10"/>
      <c r="P238" s="10"/>
      <c r="Q238" s="12"/>
      <c r="R238" s="13"/>
      <c r="S238" s="13"/>
      <c r="T238" s="13"/>
      <c r="U238" s="10"/>
      <c r="V238" s="10"/>
      <c r="W238" s="12"/>
      <c r="X238" s="12"/>
      <c r="Y238" s="12"/>
    </row>
    <row r="239" spans="1:25" ht="15" x14ac:dyDescent="0.2">
      <c r="A239" s="10"/>
      <c r="B239" s="10"/>
      <c r="C239" s="10"/>
      <c r="D239" s="10"/>
      <c r="E239" s="12"/>
      <c r="F239" s="11"/>
      <c r="G239" s="11"/>
      <c r="H239" s="10"/>
      <c r="I239" s="12"/>
      <c r="J239" s="12"/>
      <c r="K239" s="10"/>
      <c r="L239" s="12"/>
      <c r="M239" s="12"/>
      <c r="N239" s="10"/>
      <c r="O239" s="10"/>
      <c r="P239" s="10"/>
      <c r="Q239" s="12"/>
      <c r="R239" s="13"/>
      <c r="S239" s="13"/>
      <c r="T239" s="13"/>
      <c r="U239" s="10"/>
      <c r="V239" s="10"/>
      <c r="W239" s="12"/>
      <c r="X239" s="12"/>
      <c r="Y239" s="12"/>
    </row>
    <row r="240" spans="1:25" ht="15" x14ac:dyDescent="0.2">
      <c r="A240" s="10"/>
      <c r="B240" s="10"/>
      <c r="C240" s="10"/>
      <c r="D240" s="10"/>
      <c r="E240" s="12"/>
      <c r="F240" s="11"/>
      <c r="G240" s="11"/>
      <c r="H240" s="10"/>
      <c r="I240" s="12"/>
      <c r="J240" s="12"/>
      <c r="K240" s="10"/>
      <c r="L240" s="12"/>
      <c r="M240" s="12"/>
      <c r="N240" s="10"/>
      <c r="O240" s="10"/>
      <c r="P240" s="10"/>
      <c r="Q240" s="12"/>
      <c r="R240" s="13"/>
      <c r="S240" s="13"/>
      <c r="T240" s="13"/>
      <c r="U240" s="10"/>
      <c r="V240" s="10"/>
      <c r="W240" s="12"/>
      <c r="X240" s="12"/>
      <c r="Y240" s="12"/>
    </row>
    <row r="241" spans="1:25" ht="15" x14ac:dyDescent="0.2">
      <c r="A241" s="10"/>
      <c r="B241" s="10"/>
      <c r="C241" s="10"/>
      <c r="D241" s="10"/>
      <c r="E241" s="12"/>
      <c r="F241" s="11"/>
      <c r="G241" s="11"/>
      <c r="H241" s="10"/>
      <c r="I241" s="12"/>
      <c r="J241" s="12"/>
      <c r="K241" s="10"/>
      <c r="L241" s="12"/>
      <c r="M241" s="12"/>
      <c r="N241" s="10"/>
      <c r="O241" s="10"/>
      <c r="P241" s="10"/>
      <c r="Q241" s="12"/>
      <c r="R241" s="13"/>
      <c r="S241" s="13"/>
      <c r="T241" s="13"/>
      <c r="U241" s="10"/>
      <c r="V241" s="10"/>
      <c r="W241" s="12"/>
      <c r="X241" s="12"/>
      <c r="Y241" s="12"/>
    </row>
    <row r="242" spans="1:25" ht="15" x14ac:dyDescent="0.2">
      <c r="A242" s="10"/>
      <c r="B242" s="10"/>
      <c r="C242" s="10"/>
      <c r="D242" s="10"/>
      <c r="E242" s="12"/>
      <c r="F242" s="11"/>
      <c r="G242" s="11"/>
      <c r="H242" s="10"/>
      <c r="I242" s="12"/>
      <c r="J242" s="12"/>
      <c r="K242" s="10"/>
      <c r="L242" s="12"/>
      <c r="M242" s="12"/>
      <c r="N242" s="10"/>
      <c r="O242" s="10"/>
      <c r="P242" s="10"/>
      <c r="Q242" s="12"/>
      <c r="R242" s="13"/>
      <c r="S242" s="13"/>
      <c r="T242" s="13"/>
      <c r="U242" s="10"/>
      <c r="V242" s="10"/>
      <c r="W242" s="12"/>
      <c r="X242" s="12"/>
      <c r="Y242" s="12"/>
    </row>
    <row r="243" spans="1:25" ht="15" x14ac:dyDescent="0.2">
      <c r="A243" s="10"/>
      <c r="B243" s="10"/>
      <c r="C243" s="10"/>
      <c r="D243" s="12"/>
      <c r="E243" s="12"/>
      <c r="F243" s="11"/>
      <c r="G243" s="11"/>
      <c r="H243" s="10"/>
      <c r="I243" s="12"/>
      <c r="J243" s="12"/>
      <c r="K243" s="10"/>
      <c r="L243" s="12"/>
      <c r="M243" s="10"/>
      <c r="N243" s="10"/>
      <c r="O243" s="10"/>
      <c r="P243" s="10"/>
      <c r="Q243" s="12"/>
      <c r="R243" s="13"/>
      <c r="S243" s="13"/>
      <c r="T243" s="13"/>
      <c r="U243" s="10"/>
      <c r="V243" s="10"/>
      <c r="W243" s="12"/>
      <c r="X243" s="12"/>
      <c r="Y243" s="12"/>
    </row>
    <row r="244" spans="1:25" ht="15" x14ac:dyDescent="0.2">
      <c r="A244" s="10"/>
      <c r="B244" s="10"/>
      <c r="C244" s="10"/>
      <c r="D244" s="12"/>
      <c r="E244" s="12"/>
      <c r="F244" s="11"/>
      <c r="G244" s="10"/>
      <c r="H244" s="10"/>
      <c r="I244" s="12"/>
      <c r="J244" s="12"/>
      <c r="K244" s="10"/>
      <c r="L244" s="12"/>
      <c r="M244" s="10"/>
      <c r="N244" s="10"/>
      <c r="O244" s="10"/>
      <c r="P244" s="10"/>
      <c r="Q244" s="12"/>
      <c r="R244" s="10"/>
      <c r="S244" s="10"/>
      <c r="T244" s="10"/>
      <c r="U244" s="10"/>
      <c r="V244" s="10"/>
      <c r="W244" s="12"/>
      <c r="X244" s="12"/>
      <c r="Y244" s="12"/>
    </row>
    <row r="245" spans="1:25" ht="15" x14ac:dyDescent="0.2">
      <c r="A245" s="10"/>
      <c r="B245" s="10"/>
      <c r="C245" s="10"/>
      <c r="D245" s="10"/>
      <c r="E245" s="12"/>
      <c r="F245" s="11"/>
      <c r="G245" s="11"/>
      <c r="H245" s="10"/>
      <c r="I245" s="12"/>
      <c r="J245" s="12"/>
      <c r="K245" s="10"/>
      <c r="L245" s="12"/>
      <c r="M245" s="12"/>
      <c r="N245" s="10"/>
      <c r="O245" s="10"/>
      <c r="P245" s="10"/>
      <c r="Q245" s="12"/>
      <c r="R245" s="13"/>
      <c r="S245" s="13"/>
      <c r="T245" s="13"/>
      <c r="U245" s="10"/>
      <c r="V245" s="10"/>
      <c r="W245" s="12"/>
      <c r="X245" s="12"/>
      <c r="Y245" s="12"/>
    </row>
    <row r="246" spans="1:25" ht="15" x14ac:dyDescent="0.2">
      <c r="A246" s="10"/>
      <c r="B246" s="10"/>
      <c r="C246" s="10"/>
      <c r="D246" s="12"/>
      <c r="E246" s="12"/>
      <c r="F246" s="11"/>
      <c r="G246" s="10"/>
      <c r="H246" s="10"/>
      <c r="I246" s="12"/>
      <c r="J246" s="12"/>
      <c r="K246" s="10"/>
      <c r="L246" s="12"/>
      <c r="M246" s="10"/>
      <c r="N246" s="10"/>
      <c r="O246" s="10"/>
      <c r="P246" s="10"/>
      <c r="Q246" s="12"/>
      <c r="R246" s="10"/>
      <c r="S246" s="10"/>
      <c r="T246" s="10"/>
      <c r="U246" s="10"/>
      <c r="V246" s="10"/>
      <c r="W246" s="12"/>
      <c r="X246" s="12"/>
      <c r="Y246" s="12"/>
    </row>
    <row r="247" spans="1:25" ht="15" x14ac:dyDescent="0.2">
      <c r="A247" s="10"/>
      <c r="B247" s="10"/>
      <c r="C247" s="10"/>
      <c r="D247" s="12"/>
      <c r="E247" s="12"/>
      <c r="F247" s="11"/>
      <c r="G247" s="10"/>
      <c r="H247" s="10"/>
      <c r="I247" s="12"/>
      <c r="J247" s="12"/>
      <c r="K247" s="10"/>
      <c r="L247" s="12"/>
      <c r="M247" s="10"/>
      <c r="N247" s="10"/>
      <c r="O247" s="10"/>
      <c r="P247" s="10"/>
      <c r="Q247" s="12"/>
      <c r="R247" s="10"/>
      <c r="S247" s="10"/>
      <c r="T247" s="10"/>
      <c r="U247" s="10"/>
      <c r="V247" s="10"/>
      <c r="W247" s="12"/>
      <c r="X247" s="12"/>
      <c r="Y247" s="12"/>
    </row>
    <row r="248" spans="1:25" ht="15" x14ac:dyDescent="0.2">
      <c r="A248" s="10"/>
      <c r="B248" s="10"/>
      <c r="C248" s="10"/>
      <c r="D248" s="12"/>
      <c r="E248" s="12"/>
      <c r="F248" s="11"/>
      <c r="G248" s="10"/>
      <c r="H248" s="10"/>
      <c r="I248" s="12"/>
      <c r="J248" s="12"/>
      <c r="K248" s="10"/>
      <c r="L248" s="12"/>
      <c r="M248" s="10"/>
      <c r="N248" s="10"/>
      <c r="O248" s="10"/>
      <c r="P248" s="10"/>
      <c r="Q248" s="12"/>
      <c r="R248" s="10"/>
      <c r="S248" s="10"/>
      <c r="T248" s="10"/>
      <c r="U248" s="10"/>
      <c r="V248" s="10"/>
      <c r="W248" s="12"/>
      <c r="X248" s="12"/>
      <c r="Y248" s="12"/>
    </row>
    <row r="249" spans="1:25" ht="15" x14ac:dyDescent="0.2">
      <c r="A249" s="10"/>
      <c r="B249" s="10"/>
      <c r="C249" s="10"/>
      <c r="D249" s="10"/>
      <c r="E249" s="12"/>
      <c r="F249" s="11"/>
      <c r="G249" s="11"/>
      <c r="H249" s="10"/>
      <c r="I249" s="12"/>
      <c r="J249" s="12"/>
      <c r="K249" s="10"/>
      <c r="L249" s="12"/>
      <c r="M249" s="12"/>
      <c r="N249" s="10"/>
      <c r="O249" s="10"/>
      <c r="P249" s="10"/>
      <c r="Q249" s="12"/>
      <c r="R249" s="13"/>
      <c r="S249" s="13"/>
      <c r="T249" s="13"/>
      <c r="U249" s="10"/>
      <c r="V249" s="10"/>
      <c r="W249" s="12"/>
      <c r="X249" s="12"/>
      <c r="Y249" s="12"/>
    </row>
    <row r="250" spans="1:25" ht="15" x14ac:dyDescent="0.2">
      <c r="A250" s="10"/>
      <c r="B250" s="10"/>
      <c r="C250" s="10"/>
      <c r="D250" s="10"/>
      <c r="E250" s="12"/>
      <c r="F250" s="11"/>
      <c r="G250" s="10"/>
      <c r="H250" s="10"/>
      <c r="I250" s="12"/>
      <c r="J250" s="12"/>
      <c r="K250" s="10"/>
      <c r="L250" s="12"/>
      <c r="M250" s="10"/>
      <c r="N250" s="10"/>
      <c r="O250" s="10"/>
      <c r="P250" s="10"/>
      <c r="Q250" s="12"/>
      <c r="R250" s="10"/>
      <c r="S250" s="10"/>
      <c r="T250" s="10"/>
      <c r="U250" s="10"/>
      <c r="V250" s="10"/>
      <c r="W250" s="12"/>
      <c r="X250" s="12"/>
      <c r="Y250" s="12"/>
    </row>
    <row r="251" spans="1:25" ht="15" x14ac:dyDescent="0.2">
      <c r="A251" s="10"/>
      <c r="B251" s="10"/>
      <c r="C251" s="10"/>
      <c r="D251" s="10"/>
      <c r="E251" s="12"/>
      <c r="F251" s="11"/>
      <c r="G251" s="10"/>
      <c r="H251" s="10"/>
      <c r="I251" s="12"/>
      <c r="J251" s="12"/>
      <c r="K251" s="10"/>
      <c r="L251" s="12"/>
      <c r="M251" s="10"/>
      <c r="N251" s="10"/>
      <c r="O251" s="10"/>
      <c r="P251" s="10"/>
      <c r="Q251" s="12"/>
      <c r="R251" s="10"/>
      <c r="S251" s="10"/>
      <c r="T251" s="10"/>
      <c r="U251" s="10"/>
      <c r="V251" s="10"/>
      <c r="W251" s="12"/>
      <c r="X251" s="12"/>
      <c r="Y251" s="12"/>
    </row>
    <row r="252" spans="1:25" ht="15" x14ac:dyDescent="0.2">
      <c r="A252" s="10"/>
      <c r="B252" s="10"/>
      <c r="C252" s="10"/>
      <c r="D252" s="10"/>
      <c r="E252" s="12"/>
      <c r="F252" s="11"/>
      <c r="G252" s="10"/>
      <c r="H252" s="10"/>
      <c r="I252" s="12"/>
      <c r="J252" s="12"/>
      <c r="K252" s="10"/>
      <c r="L252" s="12"/>
      <c r="M252" s="10"/>
      <c r="N252" s="10"/>
      <c r="O252" s="10"/>
      <c r="P252" s="10"/>
      <c r="Q252" s="12"/>
      <c r="R252" s="10"/>
      <c r="S252" s="10"/>
      <c r="T252" s="10"/>
      <c r="U252" s="10"/>
      <c r="V252" s="10"/>
      <c r="W252" s="12"/>
      <c r="X252" s="12"/>
      <c r="Y252" s="12"/>
    </row>
    <row r="253" spans="1:25" ht="15" x14ac:dyDescent="0.2">
      <c r="A253" s="10"/>
      <c r="B253" s="10"/>
      <c r="C253" s="10"/>
      <c r="D253" s="12"/>
      <c r="E253" s="12"/>
      <c r="F253" s="11"/>
      <c r="G253" s="10"/>
      <c r="H253" s="10"/>
      <c r="I253" s="12"/>
      <c r="J253" s="12"/>
      <c r="K253" s="10"/>
      <c r="L253" s="12"/>
      <c r="M253" s="10"/>
      <c r="N253" s="10"/>
      <c r="O253" s="10"/>
      <c r="P253" s="10"/>
      <c r="Q253" s="12"/>
      <c r="R253" s="10"/>
      <c r="S253" s="10"/>
      <c r="T253" s="10"/>
      <c r="U253" s="10"/>
      <c r="V253" s="10"/>
      <c r="W253" s="12"/>
      <c r="X253" s="12"/>
      <c r="Y253" s="12"/>
    </row>
    <row r="254" spans="1:25" ht="15" x14ac:dyDescent="0.2">
      <c r="A254" s="10"/>
      <c r="B254" s="10"/>
      <c r="C254" s="10"/>
      <c r="D254" s="10"/>
      <c r="E254" s="12"/>
      <c r="F254" s="11"/>
      <c r="G254" s="11"/>
      <c r="H254" s="10"/>
      <c r="I254" s="12"/>
      <c r="J254" s="12"/>
      <c r="K254" s="10"/>
      <c r="L254" s="12"/>
      <c r="M254" s="10"/>
      <c r="N254" s="12"/>
      <c r="O254" s="10"/>
      <c r="P254" s="10"/>
      <c r="Q254" s="12"/>
      <c r="R254" s="10"/>
      <c r="S254" s="10"/>
      <c r="T254" s="10"/>
      <c r="U254" s="10"/>
      <c r="V254" s="10"/>
      <c r="W254" s="12"/>
      <c r="X254" s="12"/>
      <c r="Y254" s="12"/>
    </row>
    <row r="255" spans="1:25" ht="15" x14ac:dyDescent="0.2">
      <c r="A255" s="10"/>
      <c r="B255" s="10"/>
      <c r="C255" s="10"/>
      <c r="D255" s="10"/>
      <c r="E255" s="12"/>
      <c r="F255" s="11"/>
      <c r="G255" s="10"/>
      <c r="H255" s="10"/>
      <c r="I255" s="12"/>
      <c r="J255" s="12"/>
      <c r="K255" s="10"/>
      <c r="L255" s="12"/>
      <c r="M255" s="12"/>
      <c r="N255" s="10"/>
      <c r="O255" s="10"/>
      <c r="P255" s="10"/>
      <c r="Q255" s="12"/>
      <c r="R255" s="10"/>
      <c r="S255" s="10"/>
      <c r="T255" s="10"/>
      <c r="U255" s="10"/>
      <c r="V255" s="10"/>
      <c r="W255" s="12"/>
      <c r="X255" s="12"/>
      <c r="Y255" s="12"/>
    </row>
    <row r="256" spans="1:25" ht="15" x14ac:dyDescent="0.2">
      <c r="A256" s="10"/>
      <c r="B256" s="10"/>
      <c r="C256" s="10"/>
      <c r="D256" s="10"/>
      <c r="E256" s="12"/>
      <c r="F256" s="11"/>
      <c r="G256" s="10"/>
      <c r="H256" s="10"/>
      <c r="I256" s="12"/>
      <c r="J256" s="12"/>
      <c r="K256" s="10"/>
      <c r="L256" s="12"/>
      <c r="M256" s="12"/>
      <c r="N256" s="10"/>
      <c r="O256" s="10"/>
      <c r="P256" s="10"/>
      <c r="Q256" s="12"/>
      <c r="R256" s="10"/>
      <c r="S256" s="10"/>
      <c r="T256" s="10"/>
      <c r="U256" s="10"/>
      <c r="V256" s="10"/>
      <c r="W256" s="12"/>
      <c r="X256" s="12"/>
      <c r="Y256" s="12"/>
    </row>
    <row r="257" spans="1:25" ht="15" x14ac:dyDescent="0.2">
      <c r="A257" s="10"/>
      <c r="B257" s="10"/>
      <c r="C257" s="10"/>
      <c r="D257" s="10"/>
      <c r="E257" s="12"/>
      <c r="F257" s="11"/>
      <c r="G257" s="10"/>
      <c r="H257" s="10"/>
      <c r="I257" s="12"/>
      <c r="J257" s="12"/>
      <c r="K257" s="10"/>
      <c r="L257" s="12"/>
      <c r="M257" s="10"/>
      <c r="N257" s="12"/>
      <c r="O257" s="10"/>
      <c r="P257" s="10"/>
      <c r="Q257" s="12"/>
      <c r="R257" s="10"/>
      <c r="S257" s="10"/>
      <c r="T257" s="10"/>
      <c r="U257" s="10"/>
      <c r="V257" s="10"/>
      <c r="W257" s="12"/>
      <c r="X257" s="12"/>
      <c r="Y257" s="12"/>
    </row>
    <row r="258" spans="1:25" ht="15" x14ac:dyDescent="0.2">
      <c r="A258" s="10"/>
      <c r="B258" s="10"/>
      <c r="C258" s="10"/>
      <c r="D258" s="10"/>
      <c r="E258" s="12"/>
      <c r="F258" s="11"/>
      <c r="G258" s="11"/>
      <c r="H258" s="10"/>
      <c r="I258" s="12"/>
      <c r="J258" s="12"/>
      <c r="K258" s="10"/>
      <c r="L258" s="12"/>
      <c r="M258" s="12"/>
      <c r="N258" s="10"/>
      <c r="O258" s="10"/>
      <c r="P258" s="10"/>
      <c r="Q258" s="12"/>
      <c r="R258" s="13"/>
      <c r="S258" s="13"/>
      <c r="T258" s="13"/>
      <c r="U258" s="10"/>
      <c r="V258" s="10"/>
      <c r="W258" s="12"/>
      <c r="X258" s="12"/>
      <c r="Y258" s="12"/>
    </row>
    <row r="259" spans="1:25" ht="15" x14ac:dyDescent="0.2">
      <c r="A259" s="10"/>
      <c r="B259" s="10"/>
      <c r="C259" s="10"/>
      <c r="D259" s="12"/>
      <c r="E259" s="12"/>
      <c r="F259" s="11"/>
      <c r="G259" s="10"/>
      <c r="H259" s="10"/>
      <c r="I259" s="12"/>
      <c r="J259" s="12"/>
      <c r="K259" s="10"/>
      <c r="L259" s="12"/>
      <c r="M259" s="10"/>
      <c r="N259" s="10"/>
      <c r="O259" s="10"/>
      <c r="P259" s="10"/>
      <c r="Q259" s="12"/>
      <c r="R259" s="10"/>
      <c r="S259" s="10"/>
      <c r="T259" s="10"/>
      <c r="U259" s="10"/>
      <c r="V259" s="10"/>
      <c r="W259" s="12"/>
      <c r="X259" s="12"/>
      <c r="Y259" s="12"/>
    </row>
    <row r="260" spans="1:25" ht="15" x14ac:dyDescent="0.2">
      <c r="A260" s="10"/>
      <c r="B260" s="10"/>
      <c r="C260" s="10"/>
      <c r="D260" s="10"/>
      <c r="E260" s="12"/>
      <c r="F260" s="11"/>
      <c r="G260" s="11"/>
      <c r="H260" s="10"/>
      <c r="I260" s="12"/>
      <c r="J260" s="12"/>
      <c r="K260" s="10"/>
      <c r="L260" s="12"/>
      <c r="M260" s="12"/>
      <c r="N260" s="10"/>
      <c r="O260" s="10"/>
      <c r="P260" s="10"/>
      <c r="Q260" s="12"/>
      <c r="R260" s="13"/>
      <c r="S260" s="13"/>
      <c r="T260" s="13"/>
      <c r="U260" s="10"/>
      <c r="V260" s="10"/>
      <c r="W260" s="12"/>
      <c r="X260" s="12"/>
      <c r="Y260" s="12"/>
    </row>
    <row r="261" spans="1:25" ht="15" x14ac:dyDescent="0.2">
      <c r="A261" s="10"/>
      <c r="B261" s="10"/>
      <c r="C261" s="10"/>
      <c r="D261" s="12"/>
      <c r="E261" s="12"/>
      <c r="F261" s="11"/>
      <c r="G261" s="11"/>
      <c r="H261" s="10"/>
      <c r="I261" s="12"/>
      <c r="J261" s="12"/>
      <c r="K261" s="10"/>
      <c r="L261" s="12"/>
      <c r="M261" s="10"/>
      <c r="N261" s="10"/>
      <c r="O261" s="10"/>
      <c r="P261" s="10"/>
      <c r="Q261" s="12"/>
      <c r="R261" s="13"/>
      <c r="S261" s="13"/>
      <c r="T261" s="13"/>
      <c r="U261" s="10"/>
      <c r="V261" s="10"/>
      <c r="W261" s="12"/>
      <c r="X261" s="12"/>
      <c r="Y261" s="12"/>
    </row>
    <row r="262" spans="1:25" ht="15" x14ac:dyDescent="0.2">
      <c r="A262" s="10"/>
      <c r="B262" s="10"/>
      <c r="C262" s="10"/>
      <c r="D262" s="10"/>
      <c r="E262" s="12"/>
      <c r="F262" s="11"/>
      <c r="G262" s="11"/>
      <c r="H262" s="10"/>
      <c r="I262" s="12"/>
      <c r="J262" s="12"/>
      <c r="K262" s="10"/>
      <c r="L262" s="12"/>
      <c r="M262" s="10"/>
      <c r="N262" s="10"/>
      <c r="O262" s="10"/>
      <c r="P262" s="10"/>
      <c r="Q262" s="12"/>
      <c r="R262" s="13"/>
      <c r="S262" s="13"/>
      <c r="T262" s="13"/>
      <c r="U262" s="10"/>
      <c r="V262" s="10"/>
      <c r="W262" s="12"/>
      <c r="X262" s="12"/>
      <c r="Y262" s="12"/>
    </row>
    <row r="263" spans="1:25" ht="15" x14ac:dyDescent="0.2">
      <c r="A263" s="10"/>
      <c r="B263" s="10"/>
      <c r="C263" s="10"/>
      <c r="D263" s="12"/>
      <c r="E263" s="12"/>
      <c r="F263" s="11"/>
      <c r="G263" s="10"/>
      <c r="H263" s="10"/>
      <c r="I263" s="12"/>
      <c r="J263" s="12"/>
      <c r="K263" s="10"/>
      <c r="L263" s="12"/>
      <c r="M263" s="10"/>
      <c r="N263" s="10"/>
      <c r="O263" s="10"/>
      <c r="P263" s="10"/>
      <c r="Q263" s="12"/>
      <c r="R263" s="10"/>
      <c r="S263" s="10"/>
      <c r="T263" s="10"/>
      <c r="U263" s="10"/>
      <c r="V263" s="10"/>
      <c r="W263" s="12"/>
      <c r="X263" s="12"/>
      <c r="Y263" s="12"/>
    </row>
    <row r="264" spans="1:25" ht="15" x14ac:dyDescent="0.2">
      <c r="A264" s="10"/>
      <c r="B264" s="10"/>
      <c r="C264" s="10"/>
      <c r="D264" s="10"/>
      <c r="E264" s="12"/>
      <c r="F264" s="11"/>
      <c r="G264" s="11"/>
      <c r="H264" s="10"/>
      <c r="I264" s="12"/>
      <c r="J264" s="12"/>
      <c r="K264" s="10"/>
      <c r="L264" s="12"/>
      <c r="M264" s="12"/>
      <c r="N264" s="10"/>
      <c r="O264" s="10"/>
      <c r="P264" s="10"/>
      <c r="Q264" s="12"/>
      <c r="R264" s="13"/>
      <c r="S264" s="13"/>
      <c r="T264" s="13"/>
      <c r="U264" s="10"/>
      <c r="V264" s="10"/>
      <c r="W264" s="12"/>
      <c r="X264" s="12"/>
      <c r="Y264" s="12"/>
    </row>
    <row r="265" spans="1:25" ht="15" x14ac:dyDescent="0.2">
      <c r="A265" s="10"/>
      <c r="B265" s="10"/>
      <c r="C265" s="10"/>
      <c r="D265" s="10"/>
      <c r="E265" s="12"/>
      <c r="F265" s="11"/>
      <c r="G265" s="11"/>
      <c r="H265" s="10"/>
      <c r="I265" s="12"/>
      <c r="J265" s="12"/>
      <c r="K265" s="10"/>
      <c r="L265" s="12"/>
      <c r="M265" s="10"/>
      <c r="N265" s="10"/>
      <c r="O265" s="10"/>
      <c r="P265" s="10"/>
      <c r="Q265" s="12"/>
      <c r="R265" s="13"/>
      <c r="S265" s="13"/>
      <c r="T265" s="13"/>
      <c r="U265" s="10"/>
      <c r="V265" s="10"/>
      <c r="W265" s="12"/>
      <c r="X265" s="12"/>
      <c r="Y265" s="12"/>
    </row>
    <row r="266" spans="1:25" ht="15" x14ac:dyDescent="0.2">
      <c r="A266" s="10"/>
      <c r="B266" s="10"/>
      <c r="C266" s="10"/>
      <c r="D266" s="12"/>
      <c r="E266" s="12"/>
      <c r="F266" s="11"/>
      <c r="G266" s="10"/>
      <c r="H266" s="10"/>
      <c r="I266" s="12"/>
      <c r="J266" s="12"/>
      <c r="K266" s="10"/>
      <c r="L266" s="12"/>
      <c r="M266" s="10"/>
      <c r="N266" s="10"/>
      <c r="O266" s="10"/>
      <c r="P266" s="10"/>
      <c r="Q266" s="12"/>
      <c r="R266" s="10"/>
      <c r="S266" s="10"/>
      <c r="T266" s="10"/>
      <c r="U266" s="10"/>
      <c r="V266" s="10"/>
      <c r="W266" s="12"/>
      <c r="X266" s="12"/>
      <c r="Y266" s="12"/>
    </row>
    <row r="267" spans="1:25" ht="15" x14ac:dyDescent="0.2">
      <c r="A267" s="10"/>
      <c r="B267" s="10"/>
      <c r="C267" s="10"/>
      <c r="D267" s="12"/>
      <c r="E267" s="12"/>
      <c r="F267" s="11"/>
      <c r="G267" s="10"/>
      <c r="H267" s="10"/>
      <c r="I267" s="12"/>
      <c r="J267" s="12"/>
      <c r="K267" s="10"/>
      <c r="L267" s="12"/>
      <c r="M267" s="10"/>
      <c r="N267" s="10"/>
      <c r="O267" s="10"/>
      <c r="P267" s="10"/>
      <c r="Q267" s="12"/>
      <c r="R267" s="10"/>
      <c r="S267" s="10"/>
      <c r="T267" s="10"/>
      <c r="U267" s="10"/>
      <c r="V267" s="10"/>
      <c r="W267" s="12"/>
      <c r="X267" s="12"/>
      <c r="Y267" s="12"/>
    </row>
    <row r="268" spans="1:25" ht="15" x14ac:dyDescent="0.2">
      <c r="A268" s="10"/>
      <c r="B268" s="10"/>
      <c r="C268" s="10"/>
      <c r="D268" s="12"/>
      <c r="E268" s="12"/>
      <c r="F268" s="11"/>
      <c r="G268" s="11"/>
      <c r="H268" s="10"/>
      <c r="I268" s="12"/>
      <c r="J268" s="12"/>
      <c r="K268" s="10"/>
      <c r="L268" s="12"/>
      <c r="M268" s="10"/>
      <c r="N268" s="10"/>
      <c r="O268" s="10"/>
      <c r="P268" s="10"/>
      <c r="Q268" s="12"/>
      <c r="R268" s="13"/>
      <c r="S268" s="13"/>
      <c r="T268" s="13"/>
      <c r="U268" s="10"/>
      <c r="V268" s="10"/>
      <c r="W268" s="12"/>
      <c r="X268" s="12"/>
      <c r="Y268" s="12"/>
    </row>
    <row r="269" spans="1:25" ht="15" x14ac:dyDescent="0.2">
      <c r="A269" s="10"/>
      <c r="B269" s="10"/>
      <c r="C269" s="10"/>
      <c r="D269" s="12"/>
      <c r="E269" s="12"/>
      <c r="F269" s="11"/>
      <c r="G269" s="11"/>
      <c r="H269" s="10"/>
      <c r="I269" s="12"/>
      <c r="J269" s="12"/>
      <c r="K269" s="10"/>
      <c r="L269" s="12"/>
      <c r="M269" s="10"/>
      <c r="N269" s="10"/>
      <c r="O269" s="10"/>
      <c r="P269" s="10"/>
      <c r="Q269" s="12"/>
      <c r="R269" s="13"/>
      <c r="S269" s="13"/>
      <c r="T269" s="13"/>
      <c r="U269" s="10"/>
      <c r="V269" s="10"/>
      <c r="W269" s="12"/>
      <c r="X269" s="12"/>
      <c r="Y269" s="12"/>
    </row>
    <row r="270" spans="1:25" ht="15" x14ac:dyDescent="0.2">
      <c r="A270" s="10"/>
      <c r="B270" s="10"/>
      <c r="C270" s="10"/>
      <c r="D270" s="12"/>
      <c r="E270" s="12"/>
      <c r="F270" s="11"/>
      <c r="G270" s="11"/>
      <c r="H270" s="10"/>
      <c r="I270" s="12"/>
      <c r="J270" s="12"/>
      <c r="K270" s="10"/>
      <c r="L270" s="12"/>
      <c r="M270" s="10"/>
      <c r="N270" s="10"/>
      <c r="O270" s="10"/>
      <c r="P270" s="10"/>
      <c r="Q270" s="12"/>
      <c r="R270" s="13"/>
      <c r="S270" s="13"/>
      <c r="T270" s="13"/>
      <c r="U270" s="10"/>
      <c r="V270" s="10"/>
      <c r="W270" s="12"/>
      <c r="X270" s="12"/>
      <c r="Y270" s="12"/>
    </row>
    <row r="271" spans="1:25" ht="15" x14ac:dyDescent="0.2">
      <c r="A271" s="10"/>
      <c r="B271" s="10"/>
      <c r="C271" s="10"/>
      <c r="D271" s="12"/>
      <c r="E271" s="12"/>
      <c r="F271" s="11"/>
      <c r="G271" s="10"/>
      <c r="H271" s="10"/>
      <c r="I271" s="12"/>
      <c r="J271" s="12"/>
      <c r="K271" s="10"/>
      <c r="L271" s="12"/>
      <c r="M271" s="10"/>
      <c r="N271" s="10"/>
      <c r="O271" s="10"/>
      <c r="P271" s="10"/>
      <c r="Q271" s="12"/>
      <c r="R271" s="10"/>
      <c r="S271" s="10"/>
      <c r="T271" s="10"/>
      <c r="U271" s="10"/>
      <c r="V271" s="10"/>
      <c r="W271" s="12"/>
      <c r="X271" s="12"/>
      <c r="Y271" s="12"/>
    </row>
    <row r="272" spans="1:25" ht="15" x14ac:dyDescent="0.2">
      <c r="A272" s="10"/>
      <c r="B272" s="10"/>
      <c r="C272" s="10"/>
      <c r="D272" s="12"/>
      <c r="E272" s="12"/>
      <c r="F272" s="11"/>
      <c r="G272" s="10"/>
      <c r="H272" s="10"/>
      <c r="I272" s="12"/>
      <c r="J272" s="12"/>
      <c r="K272" s="10"/>
      <c r="L272" s="12"/>
      <c r="M272" s="10"/>
      <c r="N272" s="10"/>
      <c r="O272" s="10"/>
      <c r="P272" s="10"/>
      <c r="Q272" s="12"/>
      <c r="R272" s="10"/>
      <c r="S272" s="10"/>
      <c r="T272" s="10"/>
      <c r="U272" s="10"/>
      <c r="V272" s="10"/>
      <c r="W272" s="12"/>
      <c r="X272" s="12"/>
      <c r="Y272" s="12"/>
    </row>
    <row r="273" spans="1:25" ht="15" x14ac:dyDescent="0.2">
      <c r="A273" s="10"/>
      <c r="B273" s="10"/>
      <c r="C273" s="10"/>
      <c r="D273" s="12"/>
      <c r="E273" s="12"/>
      <c r="F273" s="11"/>
      <c r="G273" s="11"/>
      <c r="H273" s="10"/>
      <c r="I273" s="12"/>
      <c r="J273" s="12"/>
      <c r="K273" s="10"/>
      <c r="L273" s="12"/>
      <c r="M273" s="10"/>
      <c r="N273" s="10"/>
      <c r="O273" s="10"/>
      <c r="P273" s="10"/>
      <c r="Q273" s="12"/>
      <c r="R273" s="13"/>
      <c r="S273" s="13"/>
      <c r="T273" s="13"/>
      <c r="U273" s="10"/>
      <c r="V273" s="10"/>
      <c r="W273" s="12"/>
      <c r="X273" s="12"/>
      <c r="Y273" s="12"/>
    </row>
    <row r="274" spans="1:25" ht="15" x14ac:dyDescent="0.2">
      <c r="A274" s="10"/>
      <c r="B274" s="10"/>
      <c r="C274" s="10"/>
      <c r="D274" s="10"/>
      <c r="E274" s="12"/>
      <c r="F274" s="11"/>
      <c r="G274" s="11"/>
      <c r="H274" s="10"/>
      <c r="I274" s="12"/>
      <c r="J274" s="12"/>
      <c r="K274" s="10"/>
      <c r="L274" s="12"/>
      <c r="M274" s="12"/>
      <c r="N274" s="10"/>
      <c r="O274" s="10"/>
      <c r="P274" s="10"/>
      <c r="Q274" s="12"/>
      <c r="R274" s="13"/>
      <c r="S274" s="13"/>
      <c r="T274" s="13"/>
      <c r="U274" s="10"/>
      <c r="V274" s="10"/>
      <c r="W274" s="12"/>
      <c r="X274" s="12"/>
      <c r="Y274" s="12"/>
    </row>
    <row r="275" spans="1:25" ht="15" x14ac:dyDescent="0.2">
      <c r="A275" s="10"/>
      <c r="B275" s="10"/>
      <c r="C275" s="10"/>
      <c r="D275" s="10"/>
      <c r="E275" s="12"/>
      <c r="F275" s="11"/>
      <c r="G275" s="11"/>
      <c r="H275" s="10"/>
      <c r="I275" s="12"/>
      <c r="J275" s="12"/>
      <c r="K275" s="10"/>
      <c r="L275" s="12"/>
      <c r="M275" s="12"/>
      <c r="N275" s="10"/>
      <c r="O275" s="10"/>
      <c r="P275" s="10"/>
      <c r="Q275" s="12"/>
      <c r="R275" s="13"/>
      <c r="S275" s="13"/>
      <c r="T275" s="13"/>
      <c r="U275" s="10"/>
      <c r="V275" s="10"/>
      <c r="W275" s="12"/>
      <c r="X275" s="12"/>
      <c r="Y275" s="12"/>
    </row>
    <row r="276" spans="1:25" ht="15" x14ac:dyDescent="0.2">
      <c r="A276" s="10"/>
      <c r="B276" s="10"/>
      <c r="C276" s="10"/>
      <c r="D276" s="10"/>
      <c r="E276" s="12"/>
      <c r="F276" s="11"/>
      <c r="G276" s="11"/>
      <c r="H276" s="10"/>
      <c r="I276" s="12"/>
      <c r="J276" s="12"/>
      <c r="K276" s="10"/>
      <c r="L276" s="12"/>
      <c r="M276" s="12"/>
      <c r="N276" s="10"/>
      <c r="O276" s="10"/>
      <c r="P276" s="10"/>
      <c r="Q276" s="12"/>
      <c r="R276" s="13"/>
      <c r="S276" s="13"/>
      <c r="T276" s="13"/>
      <c r="U276" s="10"/>
      <c r="V276" s="10"/>
      <c r="W276" s="12"/>
      <c r="X276" s="12"/>
      <c r="Y276" s="12"/>
    </row>
    <row r="277" spans="1:25" ht="15" x14ac:dyDescent="0.2">
      <c r="A277" s="10"/>
      <c r="B277" s="10"/>
      <c r="C277" s="10"/>
      <c r="D277" s="10"/>
      <c r="E277" s="12"/>
      <c r="F277" s="11"/>
      <c r="G277" s="11"/>
      <c r="H277" s="10"/>
      <c r="I277" s="12"/>
      <c r="J277" s="12"/>
      <c r="K277" s="10"/>
      <c r="L277" s="12"/>
      <c r="M277" s="12"/>
      <c r="N277" s="10"/>
      <c r="O277" s="10"/>
      <c r="P277" s="10"/>
      <c r="Q277" s="12"/>
      <c r="R277" s="13"/>
      <c r="S277" s="13"/>
      <c r="T277" s="13"/>
      <c r="U277" s="10"/>
      <c r="V277" s="10"/>
      <c r="W277" s="12"/>
      <c r="X277" s="12"/>
      <c r="Y277" s="12"/>
    </row>
    <row r="278" spans="1:25" ht="15" x14ac:dyDescent="0.2">
      <c r="A278" s="10"/>
      <c r="B278" s="10"/>
      <c r="C278" s="10"/>
      <c r="D278" s="10"/>
      <c r="E278" s="12"/>
      <c r="F278" s="11"/>
      <c r="G278" s="11"/>
      <c r="H278" s="10"/>
      <c r="I278" s="12"/>
      <c r="J278" s="12"/>
      <c r="K278" s="10"/>
      <c r="L278" s="12"/>
      <c r="M278" s="12"/>
      <c r="N278" s="10"/>
      <c r="O278" s="10"/>
      <c r="P278" s="10"/>
      <c r="Q278" s="12"/>
      <c r="R278" s="13"/>
      <c r="S278" s="13"/>
      <c r="T278" s="13"/>
      <c r="U278" s="10"/>
      <c r="V278" s="10"/>
      <c r="W278" s="12"/>
      <c r="X278" s="12"/>
      <c r="Y278" s="12"/>
    </row>
    <row r="279" spans="1:25" ht="15" x14ac:dyDescent="0.2">
      <c r="A279" s="10"/>
      <c r="B279" s="10"/>
      <c r="C279" s="10"/>
      <c r="D279" s="12"/>
      <c r="E279" s="12"/>
      <c r="F279" s="11"/>
      <c r="G279" s="10"/>
      <c r="H279" s="10"/>
      <c r="I279" s="12"/>
      <c r="J279" s="12"/>
      <c r="K279" s="10"/>
      <c r="L279" s="12"/>
      <c r="M279" s="10"/>
      <c r="N279" s="10"/>
      <c r="O279" s="10"/>
      <c r="P279" s="10"/>
      <c r="Q279" s="12"/>
      <c r="R279" s="10"/>
      <c r="S279" s="10"/>
      <c r="T279" s="10"/>
      <c r="U279" s="10"/>
      <c r="V279" s="10"/>
      <c r="W279" s="12"/>
      <c r="X279" s="12"/>
      <c r="Y279" s="12"/>
    </row>
    <row r="280" spans="1:25" ht="15" x14ac:dyDescent="0.2">
      <c r="A280" s="10"/>
      <c r="B280" s="10"/>
      <c r="C280" s="10"/>
      <c r="D280" s="10"/>
      <c r="E280" s="12"/>
      <c r="F280" s="11"/>
      <c r="G280" s="11"/>
      <c r="H280" s="10"/>
      <c r="I280" s="12"/>
      <c r="J280" s="12"/>
      <c r="K280" s="10"/>
      <c r="L280" s="12"/>
      <c r="M280" s="10"/>
      <c r="N280" s="12"/>
      <c r="O280" s="10"/>
      <c r="P280" s="10"/>
      <c r="Q280" s="12"/>
      <c r="R280" s="10"/>
      <c r="S280" s="10"/>
      <c r="T280" s="10"/>
      <c r="U280" s="10"/>
      <c r="V280" s="10"/>
      <c r="W280" s="12"/>
      <c r="X280" s="12"/>
      <c r="Y280" s="12"/>
    </row>
    <row r="281" spans="1:25" ht="15" x14ac:dyDescent="0.2">
      <c r="A281" s="10"/>
      <c r="B281" s="10"/>
      <c r="C281" s="10"/>
      <c r="D281" s="10"/>
      <c r="E281" s="12"/>
      <c r="F281" s="11"/>
      <c r="G281" s="11"/>
      <c r="H281" s="10"/>
      <c r="I281" s="12"/>
      <c r="J281" s="12"/>
      <c r="K281" s="10"/>
      <c r="L281" s="12"/>
      <c r="M281" s="10"/>
      <c r="N281" s="12"/>
      <c r="O281" s="10"/>
      <c r="P281" s="10"/>
      <c r="Q281" s="12"/>
      <c r="R281" s="10"/>
      <c r="S281" s="10"/>
      <c r="T281" s="10"/>
      <c r="U281" s="10"/>
      <c r="V281" s="10"/>
      <c r="W281" s="12"/>
      <c r="X281" s="12"/>
      <c r="Y281" s="12"/>
    </row>
    <row r="282" spans="1:25" ht="15" x14ac:dyDescent="0.2">
      <c r="A282" s="10"/>
      <c r="B282" s="10"/>
      <c r="C282" s="10"/>
      <c r="D282" s="10"/>
      <c r="E282" s="12"/>
      <c r="F282" s="11"/>
      <c r="G282" s="11"/>
      <c r="H282" s="10"/>
      <c r="I282" s="12"/>
      <c r="J282" s="12"/>
      <c r="K282" s="10"/>
      <c r="L282" s="12"/>
      <c r="M282" s="10"/>
      <c r="N282" s="12"/>
      <c r="O282" s="10"/>
      <c r="P282" s="10"/>
      <c r="Q282" s="12"/>
      <c r="R282" s="10"/>
      <c r="S282" s="10"/>
      <c r="T282" s="10"/>
      <c r="U282" s="10"/>
      <c r="V282" s="10"/>
      <c r="W282" s="12"/>
      <c r="X282" s="12"/>
      <c r="Y282" s="12"/>
    </row>
    <row r="283" spans="1:25" ht="15" x14ac:dyDescent="0.2">
      <c r="A283" s="10"/>
      <c r="B283" s="10"/>
      <c r="C283" s="10"/>
      <c r="D283" s="10"/>
      <c r="E283" s="12"/>
      <c r="F283" s="11"/>
      <c r="G283" s="11"/>
      <c r="H283" s="10"/>
      <c r="I283" s="12"/>
      <c r="J283" s="12"/>
      <c r="K283" s="10"/>
      <c r="L283" s="12"/>
      <c r="M283" s="12"/>
      <c r="N283" s="10"/>
      <c r="O283" s="10"/>
      <c r="P283" s="10"/>
      <c r="Q283" s="12"/>
      <c r="R283" s="13"/>
      <c r="S283" s="13"/>
      <c r="T283" s="13"/>
      <c r="U283" s="10"/>
      <c r="V283" s="10"/>
      <c r="W283" s="12"/>
      <c r="X283" s="12"/>
      <c r="Y283" s="12"/>
    </row>
    <row r="284" spans="1:25" ht="15" x14ac:dyDescent="0.2">
      <c r="A284" s="10"/>
      <c r="B284" s="10"/>
      <c r="C284" s="10"/>
      <c r="D284" s="10"/>
      <c r="E284" s="12"/>
      <c r="F284" s="11"/>
      <c r="G284" s="11"/>
      <c r="H284" s="10"/>
      <c r="I284" s="12"/>
      <c r="J284" s="12"/>
      <c r="K284" s="10"/>
      <c r="L284" s="12"/>
      <c r="M284" s="12"/>
      <c r="N284" s="10"/>
      <c r="O284" s="10"/>
      <c r="P284" s="10"/>
      <c r="Q284" s="12"/>
      <c r="R284" s="13"/>
      <c r="S284" s="13"/>
      <c r="T284" s="13"/>
      <c r="U284" s="10"/>
      <c r="V284" s="10"/>
      <c r="W284" s="12"/>
      <c r="X284" s="12"/>
      <c r="Y284" s="12"/>
    </row>
    <row r="285" spans="1:25" ht="15" x14ac:dyDescent="0.2">
      <c r="A285" s="10"/>
      <c r="B285" s="10"/>
      <c r="C285" s="10"/>
      <c r="D285" s="10"/>
      <c r="E285" s="12"/>
      <c r="F285" s="11"/>
      <c r="G285" s="11"/>
      <c r="H285" s="10"/>
      <c r="I285" s="12"/>
      <c r="J285" s="12"/>
      <c r="K285" s="10"/>
      <c r="L285" s="12"/>
      <c r="M285" s="12"/>
      <c r="N285" s="10"/>
      <c r="O285" s="10"/>
      <c r="P285" s="10"/>
      <c r="Q285" s="12"/>
      <c r="R285" s="13"/>
      <c r="S285" s="13"/>
      <c r="T285" s="13"/>
      <c r="U285" s="10"/>
      <c r="V285" s="10"/>
      <c r="W285" s="12"/>
      <c r="X285" s="12"/>
      <c r="Y285" s="12"/>
    </row>
    <row r="286" spans="1:25" ht="15" x14ac:dyDescent="0.2">
      <c r="A286" s="10"/>
      <c r="B286" s="10"/>
      <c r="C286" s="10"/>
      <c r="D286" s="10"/>
      <c r="E286" s="12"/>
      <c r="F286" s="11"/>
      <c r="G286" s="11"/>
      <c r="H286" s="10"/>
      <c r="I286" s="12"/>
      <c r="J286" s="12"/>
      <c r="K286" s="10"/>
      <c r="L286" s="12"/>
      <c r="M286" s="12"/>
      <c r="N286" s="10"/>
      <c r="O286" s="10"/>
      <c r="P286" s="10"/>
      <c r="Q286" s="12"/>
      <c r="R286" s="13"/>
      <c r="S286" s="13"/>
      <c r="T286" s="13"/>
      <c r="U286" s="10"/>
      <c r="V286" s="10"/>
      <c r="W286" s="12"/>
      <c r="X286" s="12"/>
      <c r="Y286" s="12"/>
    </row>
    <row r="287" spans="1:25" ht="15" x14ac:dyDescent="0.2">
      <c r="A287" s="10"/>
      <c r="B287" s="10"/>
      <c r="C287" s="10"/>
      <c r="D287" s="10"/>
      <c r="E287" s="12"/>
      <c r="F287" s="11"/>
      <c r="G287" s="11"/>
      <c r="H287" s="10"/>
      <c r="I287" s="12"/>
      <c r="J287" s="12"/>
      <c r="K287" s="10"/>
      <c r="L287" s="12"/>
      <c r="M287" s="12"/>
      <c r="N287" s="10"/>
      <c r="O287" s="10"/>
      <c r="P287" s="10"/>
      <c r="Q287" s="12"/>
      <c r="R287" s="13"/>
      <c r="S287" s="13"/>
      <c r="T287" s="13"/>
      <c r="U287" s="10"/>
      <c r="V287" s="10"/>
      <c r="W287" s="12"/>
      <c r="X287" s="12"/>
      <c r="Y287" s="12"/>
    </row>
    <row r="288" spans="1:25" ht="15" x14ac:dyDescent="0.2">
      <c r="A288" s="10"/>
      <c r="B288" s="10"/>
      <c r="C288" s="10"/>
      <c r="D288" s="10"/>
      <c r="E288" s="12"/>
      <c r="F288" s="11"/>
      <c r="G288" s="11"/>
      <c r="H288" s="10"/>
      <c r="I288" s="12"/>
      <c r="J288" s="12"/>
      <c r="K288" s="10"/>
      <c r="L288" s="12"/>
      <c r="M288" s="12"/>
      <c r="N288" s="10"/>
      <c r="O288" s="10"/>
      <c r="P288" s="10"/>
      <c r="Q288" s="12"/>
      <c r="R288" s="13"/>
      <c r="S288" s="13"/>
      <c r="T288" s="13"/>
      <c r="U288" s="10"/>
      <c r="V288" s="10"/>
      <c r="W288" s="12"/>
      <c r="X288" s="12"/>
      <c r="Y288" s="12"/>
    </row>
    <row r="289" spans="1:25" ht="15" x14ac:dyDescent="0.2">
      <c r="A289" s="10"/>
      <c r="B289" s="10"/>
      <c r="C289" s="10"/>
      <c r="D289" s="10"/>
      <c r="E289" s="12"/>
      <c r="F289" s="11"/>
      <c r="G289" s="11"/>
      <c r="H289" s="10"/>
      <c r="I289" s="12"/>
      <c r="J289" s="12"/>
      <c r="K289" s="10"/>
      <c r="L289" s="12"/>
      <c r="M289" s="12"/>
      <c r="N289" s="10"/>
      <c r="O289" s="10"/>
      <c r="P289" s="10"/>
      <c r="Q289" s="12"/>
      <c r="R289" s="13"/>
      <c r="S289" s="13"/>
      <c r="T289" s="13"/>
      <c r="U289" s="10"/>
      <c r="V289" s="10"/>
      <c r="W289" s="12"/>
      <c r="X289" s="12"/>
      <c r="Y289" s="12"/>
    </row>
    <row r="290" spans="1:25" ht="15" x14ac:dyDescent="0.2">
      <c r="A290" s="10"/>
      <c r="B290" s="10"/>
      <c r="C290" s="10"/>
      <c r="D290" s="10"/>
      <c r="E290" s="12"/>
      <c r="F290" s="11"/>
      <c r="G290" s="11"/>
      <c r="H290" s="10"/>
      <c r="I290" s="12"/>
      <c r="J290" s="12"/>
      <c r="K290" s="10"/>
      <c r="L290" s="12"/>
      <c r="M290" s="10"/>
      <c r="N290" s="10"/>
      <c r="O290" s="10"/>
      <c r="P290" s="10"/>
      <c r="Q290" s="12"/>
      <c r="R290" s="13"/>
      <c r="S290" s="13"/>
      <c r="T290" s="13"/>
      <c r="U290" s="10"/>
      <c r="V290" s="10"/>
      <c r="W290" s="12"/>
      <c r="X290" s="12"/>
      <c r="Y290" s="12"/>
    </row>
    <row r="291" spans="1:25" ht="15" x14ac:dyDescent="0.2">
      <c r="A291" s="10"/>
      <c r="B291" s="10"/>
      <c r="C291" s="10"/>
      <c r="D291" s="12"/>
      <c r="E291" s="12"/>
      <c r="F291" s="11"/>
      <c r="G291" s="11"/>
      <c r="H291" s="10"/>
      <c r="I291" s="12"/>
      <c r="J291" s="12"/>
      <c r="K291" s="10"/>
      <c r="L291" s="12"/>
      <c r="M291" s="10"/>
      <c r="N291" s="10"/>
      <c r="O291" s="10"/>
      <c r="P291" s="10"/>
      <c r="Q291" s="12"/>
      <c r="R291" s="13"/>
      <c r="S291" s="13"/>
      <c r="T291" s="13"/>
      <c r="U291" s="10"/>
      <c r="V291" s="10"/>
      <c r="W291" s="12"/>
      <c r="X291" s="12"/>
      <c r="Y291" s="12"/>
    </row>
    <row r="292" spans="1:25" ht="15" x14ac:dyDescent="0.2">
      <c r="A292" s="10"/>
      <c r="B292" s="10"/>
      <c r="C292" s="10"/>
      <c r="D292" s="10"/>
      <c r="E292" s="12"/>
      <c r="F292" s="11"/>
      <c r="G292" s="10"/>
      <c r="H292" s="10"/>
      <c r="I292" s="12"/>
      <c r="J292" s="12"/>
      <c r="K292" s="10"/>
      <c r="L292" s="12"/>
      <c r="M292" s="10"/>
      <c r="N292" s="10"/>
      <c r="O292" s="10"/>
      <c r="P292" s="10"/>
      <c r="Q292" s="12"/>
      <c r="R292" s="10"/>
      <c r="S292" s="10"/>
      <c r="T292" s="10"/>
      <c r="U292" s="10"/>
      <c r="V292" s="10"/>
      <c r="W292" s="12"/>
      <c r="X292" s="12"/>
      <c r="Y292" s="12"/>
    </row>
    <row r="293" spans="1:25" ht="15" x14ac:dyDescent="0.2">
      <c r="A293" s="10"/>
      <c r="B293" s="10"/>
      <c r="C293" s="10"/>
      <c r="D293" s="10"/>
      <c r="E293" s="12"/>
      <c r="F293" s="11"/>
      <c r="G293" s="11"/>
      <c r="H293" s="10"/>
      <c r="I293" s="12"/>
      <c r="J293" s="12"/>
      <c r="K293" s="10"/>
      <c r="L293" s="12"/>
      <c r="M293" s="12"/>
      <c r="N293" s="10"/>
      <c r="O293" s="10"/>
      <c r="P293" s="10"/>
      <c r="Q293" s="12"/>
      <c r="R293" s="13"/>
      <c r="S293" s="13"/>
      <c r="T293" s="13"/>
      <c r="U293" s="10"/>
      <c r="V293" s="10"/>
      <c r="W293" s="12"/>
      <c r="X293" s="12"/>
      <c r="Y293" s="12"/>
    </row>
    <row r="294" spans="1:25" ht="15" x14ac:dyDescent="0.2">
      <c r="A294" s="10"/>
      <c r="B294" s="10"/>
      <c r="C294" s="10"/>
      <c r="D294" s="12"/>
      <c r="E294" s="12"/>
      <c r="F294" s="11"/>
      <c r="G294" s="11"/>
      <c r="H294" s="10"/>
      <c r="I294" s="12"/>
      <c r="J294" s="12"/>
      <c r="K294" s="10"/>
      <c r="L294" s="12"/>
      <c r="M294" s="10"/>
      <c r="N294" s="10"/>
      <c r="O294" s="10"/>
      <c r="P294" s="10"/>
      <c r="Q294" s="12"/>
      <c r="R294" s="13"/>
      <c r="S294" s="13"/>
      <c r="T294" s="13"/>
      <c r="U294" s="10"/>
      <c r="V294" s="10"/>
      <c r="W294" s="12"/>
      <c r="X294" s="12"/>
      <c r="Y294" s="12"/>
    </row>
    <row r="295" spans="1:25" ht="15" x14ac:dyDescent="0.2">
      <c r="A295" s="10"/>
      <c r="B295" s="10"/>
      <c r="C295" s="10"/>
      <c r="D295" s="10"/>
      <c r="E295" s="12"/>
      <c r="F295" s="11"/>
      <c r="G295" s="11"/>
      <c r="H295" s="10"/>
      <c r="I295" s="12"/>
      <c r="J295" s="12"/>
      <c r="K295" s="10"/>
      <c r="L295" s="12"/>
      <c r="M295" s="12"/>
      <c r="N295" s="10"/>
      <c r="O295" s="10"/>
      <c r="P295" s="10"/>
      <c r="Q295" s="12"/>
      <c r="R295" s="13"/>
      <c r="S295" s="13"/>
      <c r="T295" s="13"/>
      <c r="U295" s="10"/>
      <c r="V295" s="10"/>
      <c r="W295" s="12"/>
      <c r="X295" s="12"/>
      <c r="Y295" s="12"/>
    </row>
    <row r="296" spans="1:25" ht="15" x14ac:dyDescent="0.2">
      <c r="A296" s="10"/>
      <c r="B296" s="10"/>
      <c r="C296" s="10"/>
      <c r="D296" s="10"/>
      <c r="E296" s="12"/>
      <c r="F296" s="11"/>
      <c r="G296" s="11"/>
      <c r="H296" s="10"/>
      <c r="I296" s="12"/>
      <c r="J296" s="12"/>
      <c r="K296" s="10"/>
      <c r="L296" s="12"/>
      <c r="M296" s="10"/>
      <c r="N296" s="12"/>
      <c r="O296" s="10"/>
      <c r="P296" s="10"/>
      <c r="Q296" s="12"/>
      <c r="R296" s="10"/>
      <c r="S296" s="10"/>
      <c r="T296" s="10"/>
      <c r="U296" s="10"/>
      <c r="V296" s="10"/>
      <c r="W296" s="12"/>
      <c r="X296" s="12"/>
      <c r="Y296" s="12"/>
    </row>
    <row r="297" spans="1:25" ht="15" x14ac:dyDescent="0.2">
      <c r="A297" s="10"/>
      <c r="B297" s="10"/>
      <c r="C297" s="10"/>
      <c r="D297" s="10"/>
      <c r="E297" s="12"/>
      <c r="F297" s="11"/>
      <c r="G297" s="11"/>
      <c r="H297" s="10"/>
      <c r="I297" s="12"/>
      <c r="J297" s="12"/>
      <c r="K297" s="10"/>
      <c r="L297" s="12"/>
      <c r="M297" s="10"/>
      <c r="N297" s="12"/>
      <c r="O297" s="10"/>
      <c r="P297" s="10"/>
      <c r="Q297" s="12"/>
      <c r="R297" s="10"/>
      <c r="S297" s="10"/>
      <c r="T297" s="10"/>
      <c r="U297" s="10"/>
      <c r="V297" s="10"/>
      <c r="W297" s="12"/>
      <c r="X297" s="12"/>
      <c r="Y297" s="12"/>
    </row>
    <row r="298" spans="1:25" ht="15" x14ac:dyDescent="0.2">
      <c r="A298" s="10"/>
      <c r="B298" s="10"/>
      <c r="C298" s="10"/>
      <c r="D298" s="10"/>
      <c r="E298" s="12"/>
      <c r="F298" s="11"/>
      <c r="G298" s="11"/>
      <c r="H298" s="10"/>
      <c r="I298" s="12"/>
      <c r="J298" s="12"/>
      <c r="K298" s="10"/>
      <c r="L298" s="12"/>
      <c r="M298" s="10"/>
      <c r="N298" s="12"/>
      <c r="O298" s="10"/>
      <c r="P298" s="10"/>
      <c r="Q298" s="12"/>
      <c r="R298" s="10"/>
      <c r="S298" s="10"/>
      <c r="T298" s="10"/>
      <c r="U298" s="10"/>
      <c r="V298" s="10"/>
      <c r="W298" s="12"/>
      <c r="X298" s="12"/>
      <c r="Y298" s="12"/>
    </row>
    <row r="299" spans="1:25" ht="15" x14ac:dyDescent="0.2">
      <c r="A299" s="10"/>
      <c r="B299" s="10"/>
      <c r="C299" s="10"/>
      <c r="D299" s="10"/>
      <c r="E299" s="12"/>
      <c r="F299" s="11"/>
      <c r="G299" s="11"/>
      <c r="H299" s="10"/>
      <c r="I299" s="12"/>
      <c r="J299" s="12"/>
      <c r="K299" s="10"/>
      <c r="L299" s="12"/>
      <c r="M299" s="10"/>
      <c r="N299" s="12"/>
      <c r="O299" s="10"/>
      <c r="P299" s="10"/>
      <c r="Q299" s="12"/>
      <c r="R299" s="10"/>
      <c r="S299" s="10"/>
      <c r="T299" s="10"/>
      <c r="U299" s="10"/>
      <c r="V299" s="10"/>
      <c r="W299" s="12"/>
      <c r="X299" s="12"/>
      <c r="Y299" s="12"/>
    </row>
    <row r="300" spans="1:25" ht="15" x14ac:dyDescent="0.2">
      <c r="A300" s="10"/>
      <c r="B300" s="10"/>
      <c r="C300" s="10"/>
      <c r="D300" s="10"/>
      <c r="E300" s="12"/>
      <c r="F300" s="11"/>
      <c r="G300" s="11"/>
      <c r="H300" s="10"/>
      <c r="I300" s="12"/>
      <c r="J300" s="12"/>
      <c r="K300" s="10"/>
      <c r="L300" s="12"/>
      <c r="M300" s="10"/>
      <c r="N300" s="12"/>
      <c r="O300" s="10"/>
      <c r="P300" s="10"/>
      <c r="Q300" s="12"/>
      <c r="R300" s="10"/>
      <c r="S300" s="10"/>
      <c r="T300" s="10"/>
      <c r="U300" s="10"/>
      <c r="V300" s="10"/>
      <c r="W300" s="12"/>
      <c r="X300" s="12"/>
      <c r="Y300" s="12"/>
    </row>
    <row r="301" spans="1:25" ht="15" x14ac:dyDescent="0.2">
      <c r="A301" s="10"/>
      <c r="B301" s="10"/>
      <c r="C301" s="10"/>
      <c r="D301" s="10"/>
      <c r="E301" s="12"/>
      <c r="F301" s="11"/>
      <c r="G301" s="11"/>
      <c r="H301" s="10"/>
      <c r="I301" s="12"/>
      <c r="J301" s="12"/>
      <c r="K301" s="10"/>
      <c r="L301" s="12"/>
      <c r="M301" s="10"/>
      <c r="N301" s="12"/>
      <c r="O301" s="10"/>
      <c r="P301" s="10"/>
      <c r="Q301" s="12"/>
      <c r="R301" s="10"/>
      <c r="S301" s="10"/>
      <c r="T301" s="10"/>
      <c r="U301" s="10"/>
      <c r="V301" s="10"/>
      <c r="W301" s="12"/>
      <c r="X301" s="12"/>
      <c r="Y301" s="12"/>
    </row>
    <row r="302" spans="1:25" ht="15" x14ac:dyDescent="0.2">
      <c r="A302" s="10"/>
      <c r="B302" s="10"/>
      <c r="C302" s="10"/>
      <c r="D302" s="10"/>
      <c r="E302" s="12"/>
      <c r="F302" s="11"/>
      <c r="G302" s="11"/>
      <c r="H302" s="10"/>
      <c r="I302" s="12"/>
      <c r="J302" s="12"/>
      <c r="K302" s="10"/>
      <c r="L302" s="12"/>
      <c r="M302" s="10"/>
      <c r="N302" s="10"/>
      <c r="O302" s="10"/>
      <c r="P302" s="10"/>
      <c r="Q302" s="12"/>
      <c r="R302" s="13"/>
      <c r="S302" s="13"/>
      <c r="T302" s="13"/>
      <c r="U302" s="10"/>
      <c r="V302" s="10"/>
      <c r="W302" s="12"/>
      <c r="X302" s="12"/>
      <c r="Y302" s="12"/>
    </row>
    <row r="303" spans="1:25" ht="15" x14ac:dyDescent="0.2">
      <c r="A303" s="10"/>
      <c r="B303" s="10"/>
      <c r="C303" s="10"/>
      <c r="D303" s="10"/>
      <c r="E303" s="12"/>
      <c r="F303" s="11"/>
      <c r="G303" s="11"/>
      <c r="H303" s="10"/>
      <c r="I303" s="12"/>
      <c r="J303" s="12"/>
      <c r="K303" s="10"/>
      <c r="L303" s="12"/>
      <c r="M303" s="10"/>
      <c r="N303" s="10"/>
      <c r="O303" s="10"/>
      <c r="P303" s="10"/>
      <c r="Q303" s="12"/>
      <c r="R303" s="13"/>
      <c r="S303" s="13"/>
      <c r="T303" s="13"/>
      <c r="U303" s="10"/>
      <c r="V303" s="10"/>
      <c r="W303" s="12"/>
      <c r="X303" s="12"/>
      <c r="Y303" s="12"/>
    </row>
    <row r="304" spans="1:25" ht="15" x14ac:dyDescent="0.2">
      <c r="A304" s="10"/>
      <c r="B304" s="10"/>
      <c r="C304" s="10"/>
      <c r="D304" s="10"/>
      <c r="E304" s="12"/>
      <c r="F304" s="11"/>
      <c r="G304" s="11"/>
      <c r="H304" s="10"/>
      <c r="I304" s="12"/>
      <c r="J304" s="12"/>
      <c r="K304" s="10"/>
      <c r="L304" s="12"/>
      <c r="M304" s="10"/>
      <c r="N304" s="10"/>
      <c r="O304" s="10"/>
      <c r="P304" s="10"/>
      <c r="Q304" s="12"/>
      <c r="R304" s="13"/>
      <c r="S304" s="13"/>
      <c r="T304" s="13"/>
      <c r="U304" s="10"/>
      <c r="V304" s="10"/>
      <c r="W304" s="12"/>
      <c r="X304" s="12"/>
      <c r="Y304" s="12"/>
    </row>
    <row r="305" spans="1:25" ht="15" x14ac:dyDescent="0.2">
      <c r="A305" s="10"/>
      <c r="B305" s="10"/>
      <c r="C305" s="10"/>
      <c r="D305" s="10"/>
      <c r="E305" s="12"/>
      <c r="F305" s="11"/>
      <c r="G305" s="11"/>
      <c r="H305" s="10"/>
      <c r="I305" s="12"/>
      <c r="J305" s="12"/>
      <c r="K305" s="10"/>
      <c r="L305" s="12"/>
      <c r="M305" s="12"/>
      <c r="N305" s="10"/>
      <c r="O305" s="10"/>
      <c r="P305" s="10"/>
      <c r="Q305" s="12"/>
      <c r="R305" s="10"/>
      <c r="S305" s="10"/>
      <c r="T305" s="10"/>
      <c r="U305" s="10"/>
      <c r="V305" s="10"/>
      <c r="W305" s="12"/>
      <c r="X305" s="12"/>
      <c r="Y305" s="12"/>
    </row>
    <row r="306" spans="1:25" ht="15" x14ac:dyDescent="0.2">
      <c r="A306" s="10"/>
      <c r="B306" s="10"/>
      <c r="C306" s="10"/>
      <c r="D306" s="10"/>
      <c r="E306" s="12"/>
      <c r="F306" s="11"/>
      <c r="G306" s="11"/>
      <c r="H306" s="10"/>
      <c r="I306" s="12"/>
      <c r="J306" s="12"/>
      <c r="K306" s="10"/>
      <c r="L306" s="12"/>
      <c r="M306" s="12"/>
      <c r="N306" s="10"/>
      <c r="O306" s="10"/>
      <c r="P306" s="10"/>
      <c r="Q306" s="12"/>
      <c r="R306" s="10"/>
      <c r="S306" s="10"/>
      <c r="T306" s="10"/>
      <c r="U306" s="10"/>
      <c r="V306" s="10"/>
      <c r="W306" s="12"/>
      <c r="X306" s="12"/>
      <c r="Y306" s="12"/>
    </row>
    <row r="307" spans="1:25" ht="15" x14ac:dyDescent="0.2">
      <c r="A307" s="10"/>
      <c r="B307" s="10"/>
      <c r="C307" s="10"/>
      <c r="D307" s="10"/>
      <c r="E307" s="12"/>
      <c r="F307" s="11"/>
      <c r="G307" s="11"/>
      <c r="H307" s="10"/>
      <c r="I307" s="12"/>
      <c r="J307" s="12"/>
      <c r="K307" s="10"/>
      <c r="L307" s="12"/>
      <c r="M307" s="10"/>
      <c r="N307" s="12"/>
      <c r="O307" s="10"/>
      <c r="P307" s="10"/>
      <c r="Q307" s="12"/>
      <c r="R307" s="10"/>
      <c r="S307" s="10"/>
      <c r="T307" s="10"/>
      <c r="U307" s="10"/>
      <c r="V307" s="10"/>
      <c r="W307" s="12"/>
      <c r="X307" s="12"/>
      <c r="Y307" s="12"/>
    </row>
    <row r="308" spans="1:25" ht="15" x14ac:dyDescent="0.2">
      <c r="A308" s="10"/>
      <c r="B308" s="10"/>
      <c r="C308" s="10"/>
      <c r="D308" s="10"/>
      <c r="E308" s="12"/>
      <c r="F308" s="11"/>
      <c r="G308" s="11"/>
      <c r="H308" s="10"/>
      <c r="I308" s="12"/>
      <c r="J308" s="12"/>
      <c r="K308" s="10"/>
      <c r="L308" s="12"/>
      <c r="M308" s="12"/>
      <c r="N308" s="10"/>
      <c r="O308" s="10"/>
      <c r="P308" s="10"/>
      <c r="Q308" s="12"/>
      <c r="R308" s="13"/>
      <c r="S308" s="13"/>
      <c r="T308" s="13"/>
      <c r="U308" s="10"/>
      <c r="V308" s="10"/>
      <c r="W308" s="12"/>
      <c r="X308" s="12"/>
      <c r="Y308" s="12"/>
    </row>
    <row r="309" spans="1:25" ht="15" x14ac:dyDescent="0.2">
      <c r="A309" s="10"/>
      <c r="B309" s="10"/>
      <c r="C309" s="10"/>
      <c r="D309" s="10"/>
      <c r="E309" s="12"/>
      <c r="F309" s="11"/>
      <c r="G309" s="11"/>
      <c r="H309" s="10"/>
      <c r="I309" s="12"/>
      <c r="J309" s="12"/>
      <c r="K309" s="10"/>
      <c r="L309" s="12"/>
      <c r="M309" s="10"/>
      <c r="N309" s="10"/>
      <c r="O309" s="10"/>
      <c r="P309" s="10"/>
      <c r="Q309" s="12"/>
      <c r="R309" s="13"/>
      <c r="S309" s="13"/>
      <c r="T309" s="13"/>
      <c r="U309" s="17"/>
      <c r="V309" s="10"/>
      <c r="W309" s="12"/>
      <c r="X309" s="12"/>
      <c r="Y309" s="12"/>
    </row>
    <row r="310" spans="1:25" ht="15" x14ac:dyDescent="0.2">
      <c r="A310" s="10"/>
      <c r="B310" s="10"/>
      <c r="C310" s="10"/>
      <c r="D310" s="12"/>
      <c r="E310" s="12"/>
      <c r="F310" s="11"/>
      <c r="G310" s="11"/>
      <c r="H310" s="10"/>
      <c r="I310" s="12"/>
      <c r="J310" s="15"/>
      <c r="K310" s="10"/>
      <c r="L310" s="15"/>
      <c r="M310" s="10"/>
      <c r="N310" s="10"/>
      <c r="O310" s="10"/>
      <c r="P310" s="10"/>
      <c r="Q310" s="12"/>
      <c r="R310" s="13"/>
      <c r="S310" s="13"/>
      <c r="T310" s="13"/>
      <c r="U310" s="17"/>
      <c r="V310" s="10"/>
      <c r="W310" s="12"/>
      <c r="X310" s="12"/>
      <c r="Y310" s="12"/>
    </row>
    <row r="311" spans="1:25" ht="15" x14ac:dyDescent="0.2">
      <c r="A311" s="10"/>
      <c r="B311" s="10"/>
      <c r="C311" s="10"/>
      <c r="D311" s="12"/>
      <c r="E311" s="12"/>
      <c r="F311" s="11"/>
      <c r="G311" s="11"/>
      <c r="H311" s="10"/>
      <c r="I311" s="12"/>
      <c r="J311" s="15"/>
      <c r="K311" s="10"/>
      <c r="L311" s="15"/>
      <c r="M311" s="10"/>
      <c r="N311" s="10"/>
      <c r="O311" s="10"/>
      <c r="P311" s="10"/>
      <c r="Q311" s="12"/>
      <c r="R311" s="13"/>
      <c r="S311" s="13"/>
      <c r="T311" s="13"/>
      <c r="U311" s="17"/>
      <c r="V311" s="10"/>
      <c r="W311" s="12"/>
      <c r="X311" s="12"/>
      <c r="Y311" s="12"/>
    </row>
    <row r="312" spans="1:25" ht="15" x14ac:dyDescent="0.2">
      <c r="A312" s="10"/>
      <c r="B312" s="10"/>
      <c r="C312" s="10"/>
      <c r="D312" s="12"/>
      <c r="E312" s="12"/>
      <c r="F312" s="11"/>
      <c r="G312" s="11"/>
      <c r="H312" s="10"/>
      <c r="I312" s="12"/>
      <c r="J312" s="12"/>
      <c r="K312" s="10"/>
      <c r="L312" s="12"/>
      <c r="M312" s="10"/>
      <c r="N312" s="10"/>
      <c r="O312" s="10"/>
      <c r="P312" s="10"/>
      <c r="Q312" s="12"/>
      <c r="R312" s="13"/>
      <c r="S312" s="13"/>
      <c r="T312" s="13"/>
      <c r="U312" s="17"/>
      <c r="V312" s="10"/>
      <c r="W312" s="12"/>
      <c r="X312" s="12"/>
      <c r="Y312" s="12"/>
    </row>
    <row r="313" spans="1:25" ht="15" x14ac:dyDescent="0.2">
      <c r="A313" s="10"/>
      <c r="B313" s="10"/>
      <c r="C313" s="10"/>
      <c r="D313" s="10"/>
      <c r="E313" s="12"/>
      <c r="F313" s="11"/>
      <c r="G313" s="11"/>
      <c r="H313" s="10"/>
      <c r="I313" s="12"/>
      <c r="J313" s="12"/>
      <c r="K313" s="10"/>
      <c r="L313" s="12"/>
      <c r="M313" s="12"/>
      <c r="N313" s="10"/>
      <c r="O313" s="10"/>
      <c r="P313" s="10"/>
      <c r="Q313" s="12"/>
      <c r="R313" s="13"/>
      <c r="S313" s="13"/>
      <c r="T313" s="13"/>
      <c r="U313" s="17"/>
      <c r="V313" s="10"/>
      <c r="W313" s="12"/>
      <c r="X313" s="12"/>
      <c r="Y313" s="12"/>
    </row>
    <row r="314" spans="1:25" ht="15" x14ac:dyDescent="0.2">
      <c r="A314" s="10"/>
      <c r="B314" s="10"/>
      <c r="C314" s="10"/>
      <c r="D314" s="10"/>
      <c r="E314" s="12"/>
      <c r="F314" s="11"/>
      <c r="G314" s="11"/>
      <c r="H314" s="10"/>
      <c r="I314" s="12"/>
      <c r="J314" s="12"/>
      <c r="K314" s="10"/>
      <c r="L314" s="12"/>
      <c r="M314" s="10"/>
      <c r="N314" s="10"/>
      <c r="O314" s="10"/>
      <c r="P314" s="10"/>
      <c r="Q314" s="12"/>
      <c r="R314" s="13"/>
      <c r="S314" s="13"/>
      <c r="T314" s="13"/>
      <c r="U314" s="17"/>
      <c r="V314" s="10"/>
      <c r="W314" s="12"/>
      <c r="X314" s="12"/>
      <c r="Y314" s="12"/>
    </row>
    <row r="315" spans="1:25" ht="15" x14ac:dyDescent="0.2">
      <c r="A315" s="10"/>
      <c r="B315" s="10"/>
      <c r="C315" s="10"/>
      <c r="D315" s="10"/>
      <c r="E315" s="12"/>
      <c r="F315" s="11"/>
      <c r="G315" s="11"/>
      <c r="H315" s="10"/>
      <c r="I315" s="12"/>
      <c r="J315" s="12"/>
      <c r="K315" s="10"/>
      <c r="L315" s="12"/>
      <c r="M315" s="10"/>
      <c r="N315" s="10"/>
      <c r="O315" s="10"/>
      <c r="P315" s="10"/>
      <c r="Q315" s="12"/>
      <c r="R315" s="13"/>
      <c r="S315" s="13"/>
      <c r="T315" s="13"/>
      <c r="U315" s="17"/>
      <c r="V315" s="10"/>
      <c r="W315" s="12"/>
      <c r="X315" s="12"/>
      <c r="Y315" s="12"/>
    </row>
    <row r="316" spans="1:25" ht="15" x14ac:dyDescent="0.2">
      <c r="A316" s="10"/>
      <c r="B316" s="10"/>
      <c r="C316" s="10"/>
      <c r="D316" s="12"/>
      <c r="E316" s="12"/>
      <c r="F316" s="11"/>
      <c r="G316" s="11"/>
      <c r="H316" s="10"/>
      <c r="I316" s="12"/>
      <c r="J316" s="12"/>
      <c r="K316" s="10"/>
      <c r="L316" s="12"/>
      <c r="M316" s="10"/>
      <c r="N316" s="10"/>
      <c r="O316" s="10"/>
      <c r="P316" s="10"/>
      <c r="Q316" s="12"/>
      <c r="R316" s="13"/>
      <c r="S316" s="13"/>
      <c r="T316" s="13"/>
      <c r="U316" s="17"/>
      <c r="V316" s="10"/>
      <c r="W316" s="12"/>
      <c r="X316" s="12"/>
      <c r="Y316" s="12"/>
    </row>
    <row r="317" spans="1:25" ht="15" x14ac:dyDescent="0.2">
      <c r="A317" s="10"/>
      <c r="B317" s="10"/>
      <c r="C317" s="10"/>
      <c r="D317" s="12"/>
      <c r="E317" s="12"/>
      <c r="F317" s="11"/>
      <c r="G317" s="10"/>
      <c r="H317" s="10"/>
      <c r="I317" s="12"/>
      <c r="J317" s="12"/>
      <c r="K317" s="10"/>
      <c r="L317" s="12"/>
      <c r="M317" s="10"/>
      <c r="N317" s="10"/>
      <c r="O317" s="10"/>
      <c r="P317" s="10"/>
      <c r="Q317" s="12"/>
      <c r="R317" s="10"/>
      <c r="S317" s="10"/>
      <c r="T317" s="10"/>
      <c r="U317" s="17"/>
      <c r="V317" s="10"/>
      <c r="W317" s="12"/>
      <c r="X317" s="12"/>
      <c r="Y317" s="12"/>
    </row>
    <row r="318" spans="1:25" ht="15" x14ac:dyDescent="0.2">
      <c r="A318" s="10"/>
      <c r="B318" s="10"/>
      <c r="C318" s="10"/>
      <c r="D318" s="12"/>
      <c r="E318" s="12"/>
      <c r="F318" s="11"/>
      <c r="G318" s="10"/>
      <c r="H318" s="10"/>
      <c r="I318" s="12"/>
      <c r="J318" s="12"/>
      <c r="K318" s="10"/>
      <c r="L318" s="12"/>
      <c r="M318" s="10"/>
      <c r="N318" s="10"/>
      <c r="O318" s="10"/>
      <c r="P318" s="10"/>
      <c r="Q318" s="12"/>
      <c r="R318" s="10"/>
      <c r="S318" s="10"/>
      <c r="T318" s="10"/>
      <c r="U318" s="17"/>
      <c r="V318" s="10"/>
      <c r="W318" s="12"/>
      <c r="X318" s="12"/>
      <c r="Y318" s="12"/>
    </row>
    <row r="319" spans="1:25" ht="15" x14ac:dyDescent="0.2">
      <c r="A319" s="10"/>
      <c r="B319" s="10"/>
      <c r="C319" s="10"/>
      <c r="D319" s="12"/>
      <c r="E319" s="12"/>
      <c r="F319" s="11"/>
      <c r="G319" s="11"/>
      <c r="H319" s="10"/>
      <c r="I319" s="12"/>
      <c r="J319" s="12"/>
      <c r="K319" s="10"/>
      <c r="L319" s="12"/>
      <c r="M319" s="10"/>
      <c r="N319" s="10"/>
      <c r="O319" s="10"/>
      <c r="P319" s="10"/>
      <c r="Q319" s="12"/>
      <c r="R319" s="13"/>
      <c r="S319" s="13"/>
      <c r="T319" s="13"/>
      <c r="U319" s="17"/>
      <c r="V319" s="10"/>
      <c r="W319" s="12"/>
      <c r="X319" s="12"/>
      <c r="Y319" s="12"/>
    </row>
    <row r="320" spans="1:25" ht="15" x14ac:dyDescent="0.2">
      <c r="A320" s="10"/>
      <c r="B320" s="10"/>
      <c r="C320" s="10"/>
      <c r="D320" s="10"/>
      <c r="E320" s="12"/>
      <c r="F320" s="11"/>
      <c r="G320" s="11"/>
      <c r="H320" s="10"/>
      <c r="I320" s="12"/>
      <c r="J320" s="12"/>
      <c r="K320" s="10"/>
      <c r="L320" s="12"/>
      <c r="M320" s="12"/>
      <c r="N320" s="10"/>
      <c r="O320" s="10"/>
      <c r="P320" s="10"/>
      <c r="Q320" s="12"/>
      <c r="R320" s="13"/>
      <c r="S320" s="13"/>
      <c r="T320" s="13"/>
      <c r="U320" s="17"/>
      <c r="V320" s="10"/>
      <c r="W320" s="12"/>
      <c r="X320" s="12"/>
      <c r="Y320" s="12"/>
    </row>
    <row r="321" spans="1:25" ht="15" x14ac:dyDescent="0.2">
      <c r="A321" s="10"/>
      <c r="B321" s="10"/>
      <c r="C321" s="10"/>
      <c r="D321" s="10"/>
      <c r="E321" s="12"/>
      <c r="F321" s="11"/>
      <c r="G321" s="11"/>
      <c r="H321" s="10"/>
      <c r="I321" s="12"/>
      <c r="J321" s="12"/>
      <c r="K321" s="10"/>
      <c r="L321" s="12"/>
      <c r="M321" s="12"/>
      <c r="N321" s="10"/>
      <c r="O321" s="10"/>
      <c r="P321" s="10"/>
      <c r="Q321" s="12"/>
      <c r="R321" s="13"/>
      <c r="S321" s="13"/>
      <c r="T321" s="13"/>
      <c r="U321" s="17"/>
      <c r="V321" s="10"/>
      <c r="W321" s="12"/>
      <c r="X321" s="12"/>
      <c r="Y321" s="12"/>
    </row>
    <row r="322" spans="1:25" ht="15" x14ac:dyDescent="0.2">
      <c r="A322" s="10"/>
      <c r="B322" s="10"/>
      <c r="C322" s="10"/>
      <c r="D322" s="10"/>
      <c r="E322" s="12"/>
      <c r="F322" s="11"/>
      <c r="G322" s="11"/>
      <c r="H322" s="10"/>
      <c r="I322" s="12"/>
      <c r="J322" s="12"/>
      <c r="K322" s="10"/>
      <c r="L322" s="12"/>
      <c r="M322" s="12"/>
      <c r="N322" s="10"/>
      <c r="O322" s="10"/>
      <c r="P322" s="10"/>
      <c r="Q322" s="12"/>
      <c r="R322" s="13"/>
      <c r="S322" s="13"/>
      <c r="T322" s="13"/>
      <c r="U322" s="17"/>
      <c r="V322" s="10"/>
      <c r="W322" s="12"/>
      <c r="X322" s="12"/>
      <c r="Y322" s="12"/>
    </row>
    <row r="323" spans="1:25" ht="15" x14ac:dyDescent="0.2">
      <c r="A323" s="10"/>
      <c r="B323" s="10"/>
      <c r="C323" s="10"/>
      <c r="D323" s="10"/>
      <c r="E323" s="12"/>
      <c r="F323" s="11"/>
      <c r="G323" s="11"/>
      <c r="H323" s="10"/>
      <c r="I323" s="12"/>
      <c r="J323" s="12"/>
      <c r="K323" s="10"/>
      <c r="L323" s="12"/>
      <c r="M323" s="12"/>
      <c r="N323" s="10"/>
      <c r="O323" s="10"/>
      <c r="P323" s="10"/>
      <c r="Q323" s="12"/>
      <c r="R323" s="13"/>
      <c r="S323" s="13"/>
      <c r="T323" s="13"/>
      <c r="U323" s="17"/>
      <c r="V323" s="10"/>
      <c r="W323" s="12"/>
      <c r="X323" s="12"/>
      <c r="Y323" s="12"/>
    </row>
    <row r="324" spans="1:25" ht="15" x14ac:dyDescent="0.2">
      <c r="A324" s="10"/>
      <c r="B324" s="10"/>
      <c r="C324" s="10"/>
      <c r="D324" s="10"/>
      <c r="E324" s="12"/>
      <c r="F324" s="11"/>
      <c r="G324" s="11"/>
      <c r="H324" s="10"/>
      <c r="I324" s="12"/>
      <c r="J324" s="12"/>
      <c r="K324" s="10"/>
      <c r="L324" s="12"/>
      <c r="M324" s="12"/>
      <c r="N324" s="10"/>
      <c r="O324" s="10"/>
      <c r="P324" s="10"/>
      <c r="Q324" s="12"/>
      <c r="R324" s="13"/>
      <c r="S324" s="13"/>
      <c r="T324" s="13"/>
      <c r="U324" s="17"/>
      <c r="V324" s="10"/>
      <c r="W324" s="12"/>
      <c r="X324" s="12"/>
      <c r="Y324" s="12"/>
    </row>
    <row r="325" spans="1:25" ht="15" x14ac:dyDescent="0.2">
      <c r="A325" s="10"/>
      <c r="B325" s="10"/>
      <c r="C325" s="10"/>
      <c r="D325" s="10"/>
      <c r="E325" s="12"/>
      <c r="F325" s="11"/>
      <c r="G325" s="11"/>
      <c r="H325" s="10"/>
      <c r="I325" s="12"/>
      <c r="J325" s="12"/>
      <c r="K325" s="10"/>
      <c r="L325" s="12"/>
      <c r="M325" s="12"/>
      <c r="N325" s="10"/>
      <c r="O325" s="10"/>
      <c r="P325" s="10"/>
      <c r="Q325" s="12"/>
      <c r="R325" s="13"/>
      <c r="S325" s="13"/>
      <c r="T325" s="13"/>
      <c r="U325" s="17"/>
      <c r="V325" s="10"/>
      <c r="W325" s="12"/>
      <c r="X325" s="12"/>
      <c r="Y325" s="12"/>
    </row>
    <row r="326" spans="1:25" ht="15" x14ac:dyDescent="0.2">
      <c r="A326" s="10"/>
      <c r="B326" s="10"/>
      <c r="C326" s="10"/>
      <c r="D326" s="10"/>
      <c r="E326" s="12"/>
      <c r="F326" s="11"/>
      <c r="G326" s="11"/>
      <c r="H326" s="10"/>
      <c r="I326" s="12"/>
      <c r="J326" s="12"/>
      <c r="K326" s="10"/>
      <c r="L326" s="12"/>
      <c r="M326" s="12"/>
      <c r="N326" s="10"/>
      <c r="O326" s="10"/>
      <c r="P326" s="10"/>
      <c r="Q326" s="12"/>
      <c r="R326" s="13"/>
      <c r="S326" s="13"/>
      <c r="T326" s="13"/>
      <c r="U326" s="17"/>
      <c r="V326" s="10"/>
      <c r="W326" s="12"/>
      <c r="X326" s="12"/>
      <c r="Y326" s="12"/>
    </row>
    <row r="327" spans="1:25" ht="15" x14ac:dyDescent="0.2">
      <c r="A327" s="10"/>
      <c r="B327" s="10"/>
      <c r="C327" s="10"/>
      <c r="D327" s="12"/>
      <c r="E327" s="12"/>
      <c r="F327" s="11"/>
      <c r="G327" s="10"/>
      <c r="H327" s="10"/>
      <c r="I327" s="12"/>
      <c r="J327" s="12"/>
      <c r="K327" s="10"/>
      <c r="L327" s="12"/>
      <c r="M327" s="10"/>
      <c r="N327" s="10"/>
      <c r="O327" s="10"/>
      <c r="P327" s="10"/>
      <c r="Q327" s="12"/>
      <c r="R327" s="10"/>
      <c r="S327" s="10"/>
      <c r="T327" s="10"/>
      <c r="U327" s="17"/>
      <c r="V327" s="10"/>
      <c r="W327" s="12"/>
      <c r="X327" s="12"/>
      <c r="Y327" s="12"/>
    </row>
    <row r="328" spans="1:25" ht="15" x14ac:dyDescent="0.2">
      <c r="A328" s="10"/>
      <c r="B328" s="10"/>
      <c r="C328" s="10"/>
      <c r="D328" s="10"/>
      <c r="E328" s="12"/>
      <c r="F328" s="11"/>
      <c r="G328" s="11"/>
      <c r="H328" s="10"/>
      <c r="I328" s="12"/>
      <c r="J328" s="12"/>
      <c r="K328" s="10"/>
      <c r="L328" s="12"/>
      <c r="M328" s="12"/>
      <c r="N328" s="10"/>
      <c r="O328" s="10"/>
      <c r="P328" s="10"/>
      <c r="Q328" s="12"/>
      <c r="R328" s="13"/>
      <c r="S328" s="13"/>
      <c r="T328" s="13"/>
      <c r="U328" s="17"/>
      <c r="V328" s="10"/>
      <c r="W328" s="12"/>
      <c r="X328" s="12"/>
      <c r="Y328" s="12"/>
    </row>
    <row r="329" spans="1:25" ht="15" x14ac:dyDescent="0.2">
      <c r="A329" s="10"/>
      <c r="B329" s="10"/>
      <c r="C329" s="10"/>
      <c r="D329" s="10"/>
      <c r="E329" s="12"/>
      <c r="F329" s="11"/>
      <c r="G329" s="11"/>
      <c r="H329" s="10"/>
      <c r="I329" s="12"/>
      <c r="J329" s="12"/>
      <c r="K329" s="10"/>
      <c r="L329" s="12"/>
      <c r="M329" s="12"/>
      <c r="N329" s="10"/>
      <c r="O329" s="10"/>
      <c r="P329" s="10"/>
      <c r="Q329" s="12"/>
      <c r="R329" s="13"/>
      <c r="S329" s="13"/>
      <c r="T329" s="13"/>
      <c r="U329" s="17"/>
      <c r="V329" s="10"/>
      <c r="W329" s="12"/>
      <c r="X329" s="12"/>
      <c r="Y329" s="12"/>
    </row>
    <row r="330" spans="1:25" ht="15" x14ac:dyDescent="0.2">
      <c r="A330" s="10"/>
      <c r="B330" s="10"/>
      <c r="C330" s="10"/>
      <c r="D330" s="10"/>
      <c r="E330" s="12"/>
      <c r="F330" s="11"/>
      <c r="G330" s="11"/>
      <c r="H330" s="10"/>
      <c r="I330" s="12"/>
      <c r="J330" s="12"/>
      <c r="K330" s="10"/>
      <c r="L330" s="12"/>
      <c r="M330" s="12"/>
      <c r="N330" s="10"/>
      <c r="O330" s="10"/>
      <c r="P330" s="10"/>
      <c r="Q330" s="12"/>
      <c r="R330" s="13"/>
      <c r="S330" s="13"/>
      <c r="T330" s="13"/>
      <c r="U330" s="17"/>
      <c r="V330" s="10"/>
      <c r="W330" s="12"/>
      <c r="X330" s="12"/>
      <c r="Y330" s="12"/>
    </row>
    <row r="331" spans="1:25" ht="15" x14ac:dyDescent="0.2">
      <c r="A331" s="10"/>
      <c r="B331" s="10"/>
      <c r="C331" s="10"/>
      <c r="D331" s="10"/>
      <c r="E331" s="12"/>
      <c r="F331" s="11"/>
      <c r="G331" s="11"/>
      <c r="H331" s="10"/>
      <c r="I331" s="12"/>
      <c r="J331" s="12"/>
      <c r="K331" s="10"/>
      <c r="L331" s="12"/>
      <c r="M331" s="12"/>
      <c r="N331" s="10"/>
      <c r="O331" s="10"/>
      <c r="P331" s="10"/>
      <c r="Q331" s="12"/>
      <c r="R331" s="13"/>
      <c r="S331" s="13"/>
      <c r="T331" s="13"/>
      <c r="U331" s="17"/>
      <c r="V331" s="10"/>
      <c r="W331" s="12"/>
      <c r="X331" s="12"/>
      <c r="Y331" s="12"/>
    </row>
    <row r="332" spans="1:25" ht="15" x14ac:dyDescent="0.2">
      <c r="A332" s="10"/>
      <c r="B332" s="10"/>
      <c r="C332" s="10"/>
      <c r="D332" s="10"/>
      <c r="E332" s="12"/>
      <c r="F332" s="11"/>
      <c r="G332" s="11"/>
      <c r="H332" s="10"/>
      <c r="I332" s="12"/>
      <c r="J332" s="12"/>
      <c r="K332" s="10"/>
      <c r="L332" s="12"/>
      <c r="M332" s="10"/>
      <c r="N332" s="12"/>
      <c r="O332" s="10"/>
      <c r="P332" s="10"/>
      <c r="Q332" s="12"/>
      <c r="R332" s="10"/>
      <c r="S332" s="10"/>
      <c r="T332" s="10"/>
      <c r="U332" s="17"/>
      <c r="V332" s="10"/>
      <c r="W332" s="12"/>
      <c r="X332" s="12"/>
      <c r="Y332" s="12"/>
    </row>
    <row r="333" spans="1:25" ht="15" x14ac:dyDescent="0.2">
      <c r="A333" s="10"/>
      <c r="B333" s="10"/>
      <c r="C333" s="10"/>
      <c r="D333" s="10"/>
      <c r="E333" s="12"/>
      <c r="F333" s="11"/>
      <c r="G333" s="11"/>
      <c r="H333" s="10"/>
      <c r="I333" s="12"/>
      <c r="J333" s="12"/>
      <c r="K333" s="10"/>
      <c r="L333" s="12"/>
      <c r="M333" s="10"/>
      <c r="N333" s="12"/>
      <c r="O333" s="10"/>
      <c r="P333" s="10"/>
      <c r="Q333" s="12"/>
      <c r="R333" s="10"/>
      <c r="S333" s="10"/>
      <c r="T333" s="10"/>
      <c r="U333" s="17"/>
      <c r="V333" s="10"/>
      <c r="W333" s="12"/>
      <c r="X333" s="12"/>
      <c r="Y333" s="12"/>
    </row>
    <row r="334" spans="1:25" ht="15" x14ac:dyDescent="0.2">
      <c r="A334" s="10"/>
      <c r="B334" s="10"/>
      <c r="C334" s="10"/>
      <c r="D334" s="10"/>
      <c r="E334" s="12"/>
      <c r="F334" s="11"/>
      <c r="G334" s="11"/>
      <c r="H334" s="10"/>
      <c r="I334" s="12"/>
      <c r="J334" s="12"/>
      <c r="K334" s="10"/>
      <c r="L334" s="12"/>
      <c r="M334" s="10"/>
      <c r="N334" s="12"/>
      <c r="O334" s="10"/>
      <c r="P334" s="10"/>
      <c r="Q334" s="12"/>
      <c r="R334" s="10"/>
      <c r="S334" s="10"/>
      <c r="T334" s="10"/>
      <c r="U334" s="17"/>
      <c r="V334" s="10"/>
      <c r="W334" s="12"/>
      <c r="X334" s="12"/>
      <c r="Y334" s="12"/>
    </row>
    <row r="335" spans="1:25" ht="15" x14ac:dyDescent="0.2">
      <c r="A335" s="10"/>
      <c r="B335" s="10"/>
      <c r="C335" s="10"/>
      <c r="D335" s="12"/>
      <c r="E335" s="12"/>
      <c r="F335" s="11"/>
      <c r="G335" s="10"/>
      <c r="H335" s="10"/>
      <c r="I335" s="12"/>
      <c r="J335" s="12"/>
      <c r="K335" s="10"/>
      <c r="L335" s="12"/>
      <c r="M335" s="10"/>
      <c r="N335" s="10"/>
      <c r="O335" s="10"/>
      <c r="P335" s="10"/>
      <c r="Q335" s="12"/>
      <c r="R335" s="10"/>
      <c r="S335" s="10"/>
      <c r="T335" s="10"/>
      <c r="U335" s="17"/>
      <c r="V335" s="10"/>
      <c r="W335" s="12"/>
      <c r="X335" s="12"/>
      <c r="Y335" s="12"/>
    </row>
    <row r="336" spans="1:25" ht="15" x14ac:dyDescent="0.2">
      <c r="A336" s="10"/>
      <c r="B336" s="10"/>
      <c r="C336" s="10"/>
      <c r="D336" s="10"/>
      <c r="E336" s="12"/>
      <c r="F336" s="11"/>
      <c r="G336" s="11"/>
      <c r="H336" s="10"/>
      <c r="I336" s="12"/>
      <c r="J336" s="12"/>
      <c r="K336" s="10"/>
      <c r="L336" s="12"/>
      <c r="M336" s="12"/>
      <c r="N336" s="10"/>
      <c r="O336" s="10"/>
      <c r="P336" s="10"/>
      <c r="Q336" s="12"/>
      <c r="R336" s="13"/>
      <c r="S336" s="13"/>
      <c r="T336" s="13"/>
      <c r="U336" s="17"/>
      <c r="V336" s="10"/>
      <c r="W336" s="12"/>
      <c r="X336" s="12"/>
      <c r="Y336" s="12"/>
    </row>
    <row r="337" spans="1:25" ht="15" x14ac:dyDescent="0.2">
      <c r="A337" s="10"/>
      <c r="B337" s="10"/>
      <c r="C337" s="10"/>
      <c r="D337" s="10"/>
      <c r="E337" s="12"/>
      <c r="F337" s="11"/>
      <c r="G337" s="11"/>
      <c r="H337" s="10"/>
      <c r="I337" s="12"/>
      <c r="J337" s="12"/>
      <c r="K337" s="10"/>
      <c r="L337" s="12"/>
      <c r="M337" s="12"/>
      <c r="N337" s="10"/>
      <c r="O337" s="10"/>
      <c r="P337" s="10"/>
      <c r="Q337" s="12"/>
      <c r="R337" s="13"/>
      <c r="S337" s="13"/>
      <c r="T337" s="13"/>
      <c r="U337" s="17"/>
      <c r="V337" s="10"/>
      <c r="W337" s="12"/>
      <c r="X337" s="12"/>
      <c r="Y337" s="12"/>
    </row>
    <row r="338" spans="1:25" ht="15" x14ac:dyDescent="0.2">
      <c r="A338" s="10"/>
      <c r="B338" s="10"/>
      <c r="C338" s="10"/>
      <c r="D338" s="10"/>
      <c r="E338" s="12"/>
      <c r="F338" s="11"/>
      <c r="G338" s="11"/>
      <c r="H338" s="10"/>
      <c r="I338" s="12"/>
      <c r="J338" s="12"/>
      <c r="K338" s="10"/>
      <c r="L338" s="12"/>
      <c r="M338" s="10"/>
      <c r="N338" s="10"/>
      <c r="O338" s="10"/>
      <c r="P338" s="10"/>
      <c r="Q338" s="12"/>
      <c r="R338" s="13"/>
      <c r="S338" s="13"/>
      <c r="T338" s="13"/>
      <c r="U338" s="17"/>
      <c r="V338" s="10"/>
      <c r="W338" s="12"/>
      <c r="X338" s="12"/>
      <c r="Y338" s="12"/>
    </row>
    <row r="339" spans="1:25" ht="15" x14ac:dyDescent="0.2">
      <c r="A339" s="10"/>
      <c r="B339" s="10"/>
      <c r="C339" s="10"/>
      <c r="D339" s="10"/>
      <c r="E339" s="12"/>
      <c r="F339" s="11"/>
      <c r="G339" s="11"/>
      <c r="H339" s="10"/>
      <c r="I339" s="12"/>
      <c r="J339" s="12"/>
      <c r="K339" s="10"/>
      <c r="L339" s="12"/>
      <c r="M339" s="10"/>
      <c r="N339" s="10"/>
      <c r="O339" s="10"/>
      <c r="P339" s="10"/>
      <c r="Q339" s="12"/>
      <c r="R339" s="13"/>
      <c r="S339" s="13"/>
      <c r="T339" s="13"/>
      <c r="U339" s="17"/>
      <c r="V339" s="10"/>
      <c r="W339" s="12"/>
      <c r="X339" s="12"/>
      <c r="Y339" s="12"/>
    </row>
    <row r="340" spans="1:25" ht="15" x14ac:dyDescent="0.2">
      <c r="A340" s="10"/>
      <c r="B340" s="10"/>
      <c r="C340" s="10"/>
      <c r="D340" s="10"/>
      <c r="E340" s="12"/>
      <c r="F340" s="11"/>
      <c r="G340" s="11"/>
      <c r="H340" s="10"/>
      <c r="I340" s="12"/>
      <c r="J340" s="12"/>
      <c r="K340" s="10"/>
      <c r="L340" s="12"/>
      <c r="M340" s="12"/>
      <c r="N340" s="10"/>
      <c r="O340" s="10"/>
      <c r="P340" s="10"/>
      <c r="Q340" s="12"/>
      <c r="R340" s="13"/>
      <c r="S340" s="13"/>
      <c r="T340" s="13"/>
      <c r="U340" s="17"/>
      <c r="V340" s="10"/>
      <c r="W340" s="12"/>
      <c r="X340" s="12"/>
      <c r="Y340" s="12"/>
    </row>
    <row r="341" spans="1:25" ht="15" x14ac:dyDescent="0.2">
      <c r="A341" s="10"/>
      <c r="B341" s="10"/>
      <c r="C341" s="10"/>
      <c r="D341" s="10"/>
      <c r="E341" s="12"/>
      <c r="F341" s="11"/>
      <c r="G341" s="11"/>
      <c r="H341" s="10"/>
      <c r="I341" s="12"/>
      <c r="J341" s="12"/>
      <c r="K341" s="10"/>
      <c r="L341" s="12"/>
      <c r="M341" s="12"/>
      <c r="N341" s="10"/>
      <c r="O341" s="10"/>
      <c r="P341" s="10"/>
      <c r="Q341" s="12"/>
      <c r="R341" s="13"/>
      <c r="S341" s="13"/>
      <c r="T341" s="13"/>
      <c r="U341" s="17"/>
      <c r="V341" s="10"/>
      <c r="W341" s="12"/>
      <c r="X341" s="12"/>
      <c r="Y341" s="12"/>
    </row>
    <row r="342" spans="1:25" ht="15" x14ac:dyDescent="0.2">
      <c r="A342" s="10"/>
      <c r="B342" s="10"/>
      <c r="C342" s="10"/>
      <c r="D342" s="10"/>
      <c r="E342" s="12"/>
      <c r="F342" s="11"/>
      <c r="G342" s="11"/>
      <c r="H342" s="10"/>
      <c r="I342" s="12"/>
      <c r="J342" s="12"/>
      <c r="K342" s="10"/>
      <c r="L342" s="12"/>
      <c r="M342" s="12"/>
      <c r="N342" s="10"/>
      <c r="O342" s="10"/>
      <c r="P342" s="10"/>
      <c r="Q342" s="12"/>
      <c r="R342" s="13"/>
      <c r="S342" s="13"/>
      <c r="T342" s="13"/>
      <c r="U342" s="17"/>
      <c r="V342" s="10"/>
      <c r="W342" s="12"/>
      <c r="X342" s="12"/>
      <c r="Y342" s="12"/>
    </row>
    <row r="343" spans="1:25" ht="15" x14ac:dyDescent="0.2">
      <c r="A343" s="10"/>
      <c r="B343" s="10"/>
      <c r="C343" s="10"/>
      <c r="D343" s="10"/>
      <c r="E343" s="12"/>
      <c r="F343" s="11"/>
      <c r="G343" s="11"/>
      <c r="H343" s="10"/>
      <c r="I343" s="12"/>
      <c r="J343" s="12"/>
      <c r="K343" s="10"/>
      <c r="L343" s="12"/>
      <c r="M343" s="10"/>
      <c r="N343" s="12"/>
      <c r="O343" s="10"/>
      <c r="P343" s="10"/>
      <c r="Q343" s="12"/>
      <c r="R343" s="10"/>
      <c r="S343" s="10"/>
      <c r="T343" s="10"/>
      <c r="U343" s="17"/>
      <c r="V343" s="10"/>
      <c r="W343" s="12"/>
      <c r="X343" s="12"/>
      <c r="Y343" s="12"/>
    </row>
    <row r="344" spans="1:25" ht="15" x14ac:dyDescent="0.2">
      <c r="A344" s="10"/>
      <c r="B344" s="10"/>
      <c r="C344" s="10"/>
      <c r="D344" s="10"/>
      <c r="E344" s="12"/>
      <c r="F344" s="11"/>
      <c r="G344" s="11"/>
      <c r="H344" s="10"/>
      <c r="I344" s="12"/>
      <c r="J344" s="12"/>
      <c r="K344" s="10"/>
      <c r="L344" s="12"/>
      <c r="M344" s="12"/>
      <c r="N344" s="10"/>
      <c r="O344" s="10"/>
      <c r="P344" s="10"/>
      <c r="Q344" s="12"/>
      <c r="R344" s="13"/>
      <c r="S344" s="13"/>
      <c r="T344" s="13"/>
      <c r="U344" s="17"/>
      <c r="V344" s="10"/>
      <c r="W344" s="12"/>
      <c r="X344" s="12"/>
      <c r="Y344" s="12"/>
    </row>
    <row r="345" spans="1:25" ht="15" x14ac:dyDescent="0.2">
      <c r="A345" s="10"/>
      <c r="B345" s="10"/>
      <c r="C345" s="10"/>
      <c r="D345" s="10"/>
      <c r="E345" s="12"/>
      <c r="F345" s="11"/>
      <c r="G345" s="11"/>
      <c r="H345" s="10"/>
      <c r="I345" s="12"/>
      <c r="J345" s="12"/>
      <c r="K345" s="10"/>
      <c r="L345" s="12"/>
      <c r="M345" s="12"/>
      <c r="N345" s="10"/>
      <c r="O345" s="10"/>
      <c r="P345" s="10"/>
      <c r="Q345" s="12"/>
      <c r="R345" s="13"/>
      <c r="S345" s="13"/>
      <c r="T345" s="13"/>
      <c r="U345" s="17"/>
      <c r="V345" s="10"/>
      <c r="W345" s="12"/>
      <c r="X345" s="12"/>
      <c r="Y345" s="12"/>
    </row>
    <row r="346" spans="1:25" ht="15" x14ac:dyDescent="0.2">
      <c r="A346" s="10"/>
      <c r="B346" s="10"/>
      <c r="C346" s="10"/>
      <c r="D346" s="10"/>
      <c r="E346" s="12"/>
      <c r="F346" s="11"/>
      <c r="G346" s="11"/>
      <c r="H346" s="10"/>
      <c r="I346" s="12"/>
      <c r="J346" s="12"/>
      <c r="K346" s="10"/>
      <c r="L346" s="12"/>
      <c r="M346" s="10"/>
      <c r="N346" s="12"/>
      <c r="O346" s="10"/>
      <c r="P346" s="10"/>
      <c r="Q346" s="12"/>
      <c r="R346" s="10"/>
      <c r="S346" s="10"/>
      <c r="T346" s="10"/>
      <c r="U346" s="17"/>
      <c r="V346" s="10"/>
      <c r="W346" s="12"/>
      <c r="X346" s="12"/>
      <c r="Y346" s="12"/>
    </row>
    <row r="347" spans="1:25" ht="15" x14ac:dyDescent="0.2">
      <c r="A347" s="10"/>
      <c r="B347" s="10"/>
      <c r="C347" s="10"/>
      <c r="D347" s="10"/>
      <c r="E347" s="12"/>
      <c r="F347" s="11"/>
      <c r="G347" s="11"/>
      <c r="H347" s="10"/>
      <c r="I347" s="12"/>
      <c r="J347" s="12"/>
      <c r="K347" s="10"/>
      <c r="L347" s="12"/>
      <c r="M347" s="10"/>
      <c r="N347" s="12"/>
      <c r="O347" s="10"/>
      <c r="P347" s="10"/>
      <c r="Q347" s="12"/>
      <c r="R347" s="10"/>
      <c r="S347" s="10"/>
      <c r="T347" s="10"/>
      <c r="U347" s="17"/>
      <c r="V347" s="10"/>
      <c r="W347" s="12"/>
      <c r="X347" s="12"/>
      <c r="Y347" s="12"/>
    </row>
    <row r="348" spans="1:25" ht="15" x14ac:dyDescent="0.2">
      <c r="A348" s="10"/>
      <c r="B348" s="10"/>
      <c r="C348" s="10"/>
      <c r="D348" s="12"/>
      <c r="E348" s="12"/>
      <c r="F348" s="11"/>
      <c r="G348" s="10"/>
      <c r="H348" s="10"/>
      <c r="I348" s="12"/>
      <c r="J348" s="12"/>
      <c r="K348" s="10"/>
      <c r="L348" s="12"/>
      <c r="M348" s="10"/>
      <c r="N348" s="10"/>
      <c r="O348" s="10"/>
      <c r="P348" s="10"/>
      <c r="Q348" s="12"/>
      <c r="R348" s="10"/>
      <c r="S348" s="10"/>
      <c r="T348" s="10"/>
      <c r="U348" s="17"/>
      <c r="V348" s="10"/>
      <c r="W348" s="12"/>
      <c r="X348" s="12"/>
      <c r="Y348" s="12"/>
    </row>
    <row r="349" spans="1:25" ht="15" x14ac:dyDescent="0.2">
      <c r="A349" s="10"/>
      <c r="B349" s="10"/>
      <c r="C349" s="10"/>
      <c r="D349" s="10"/>
      <c r="E349" s="12"/>
      <c r="F349" s="11"/>
      <c r="G349" s="11"/>
      <c r="H349" s="10"/>
      <c r="I349" s="12"/>
      <c r="J349" s="12"/>
      <c r="K349" s="10"/>
      <c r="L349" s="12"/>
      <c r="M349" s="12"/>
      <c r="N349" s="10"/>
      <c r="O349" s="10"/>
      <c r="P349" s="10"/>
      <c r="Q349" s="12"/>
      <c r="R349" s="13"/>
      <c r="S349" s="13"/>
      <c r="T349" s="13"/>
      <c r="U349" s="17"/>
      <c r="V349" s="10"/>
      <c r="W349" s="12"/>
      <c r="X349" s="12"/>
      <c r="Y349" s="12"/>
    </row>
    <row r="350" spans="1:25" ht="15" x14ac:dyDescent="0.2">
      <c r="A350" s="10"/>
      <c r="B350" s="10"/>
      <c r="C350" s="10"/>
      <c r="D350" s="10"/>
      <c r="E350" s="12"/>
      <c r="F350" s="11"/>
      <c r="G350" s="11"/>
      <c r="H350" s="10"/>
      <c r="I350" s="12"/>
      <c r="J350" s="12"/>
      <c r="K350" s="10"/>
      <c r="L350" s="12"/>
      <c r="M350" s="12"/>
      <c r="N350" s="10"/>
      <c r="O350" s="10"/>
      <c r="P350" s="10"/>
      <c r="Q350" s="12"/>
      <c r="R350" s="10"/>
      <c r="S350" s="10"/>
      <c r="T350" s="10"/>
      <c r="U350" s="17"/>
      <c r="V350" s="10"/>
      <c r="W350" s="12"/>
      <c r="X350" s="12"/>
      <c r="Y350" s="12"/>
    </row>
    <row r="351" spans="1:25" ht="15" x14ac:dyDescent="0.2">
      <c r="A351" s="10"/>
      <c r="B351" s="10"/>
      <c r="C351" s="10"/>
      <c r="D351" s="10"/>
      <c r="E351" s="12"/>
      <c r="F351" s="11"/>
      <c r="G351" s="11"/>
      <c r="H351" s="10"/>
      <c r="I351" s="12"/>
      <c r="J351" s="12"/>
      <c r="K351" s="10"/>
      <c r="L351" s="12"/>
      <c r="M351" s="12"/>
      <c r="N351" s="10"/>
      <c r="O351" s="10"/>
      <c r="P351" s="10"/>
      <c r="Q351" s="12"/>
      <c r="R351" s="10"/>
      <c r="S351" s="10"/>
      <c r="T351" s="10"/>
      <c r="U351" s="17"/>
      <c r="V351" s="10"/>
      <c r="W351" s="12"/>
      <c r="X351" s="12"/>
      <c r="Y351" s="12"/>
    </row>
    <row r="352" spans="1:25" ht="15" x14ac:dyDescent="0.2">
      <c r="A352" s="10"/>
      <c r="B352" s="10"/>
      <c r="C352" s="10"/>
      <c r="D352" s="10"/>
      <c r="E352" s="12"/>
      <c r="F352" s="11"/>
      <c r="G352" s="11"/>
      <c r="H352" s="10"/>
      <c r="I352" s="12"/>
      <c r="J352" s="12"/>
      <c r="K352" s="10"/>
      <c r="L352" s="12"/>
      <c r="M352" s="12"/>
      <c r="N352" s="10"/>
      <c r="O352" s="10"/>
      <c r="P352" s="10"/>
      <c r="Q352" s="12"/>
      <c r="R352" s="10"/>
      <c r="S352" s="10"/>
      <c r="T352" s="10"/>
      <c r="U352" s="17"/>
      <c r="V352" s="10"/>
      <c r="W352" s="12"/>
      <c r="X352" s="12"/>
      <c r="Y352" s="12"/>
    </row>
    <row r="353" spans="1:25" ht="15" x14ac:dyDescent="0.2">
      <c r="A353" s="10"/>
      <c r="B353" s="10"/>
      <c r="C353" s="10"/>
      <c r="D353" s="10"/>
      <c r="E353" s="12"/>
      <c r="F353" s="11"/>
      <c r="G353" s="11"/>
      <c r="H353" s="10"/>
      <c r="I353" s="12"/>
      <c r="J353" s="12"/>
      <c r="K353" s="10"/>
      <c r="L353" s="12"/>
      <c r="M353" s="12"/>
      <c r="N353" s="10"/>
      <c r="O353" s="10"/>
      <c r="P353" s="10"/>
      <c r="Q353" s="12"/>
      <c r="R353" s="10"/>
      <c r="S353" s="10"/>
      <c r="T353" s="10"/>
      <c r="U353" s="17"/>
      <c r="V353" s="10"/>
      <c r="W353" s="12"/>
      <c r="X353" s="12"/>
      <c r="Y353" s="12"/>
    </row>
    <row r="354" spans="1:25" ht="15" x14ac:dyDescent="0.2">
      <c r="A354" s="10"/>
      <c r="B354" s="10"/>
      <c r="C354" s="10"/>
      <c r="D354" s="12"/>
      <c r="E354" s="12"/>
      <c r="F354" s="11"/>
      <c r="G354" s="11"/>
      <c r="H354" s="10"/>
      <c r="I354" s="12"/>
      <c r="J354" s="12"/>
      <c r="K354" s="10"/>
      <c r="L354" s="12"/>
      <c r="M354" s="10"/>
      <c r="N354" s="10"/>
      <c r="O354" s="10"/>
      <c r="P354" s="10"/>
      <c r="Q354" s="12"/>
      <c r="R354" s="13"/>
      <c r="S354" s="13"/>
      <c r="T354" s="13"/>
      <c r="U354" s="17"/>
      <c r="V354" s="10"/>
      <c r="W354" s="12"/>
      <c r="X354" s="12"/>
      <c r="Y354" s="12"/>
    </row>
    <row r="355" spans="1:25" ht="15" x14ac:dyDescent="0.2">
      <c r="A355" s="10"/>
      <c r="B355" s="10"/>
      <c r="C355" s="10"/>
      <c r="D355" s="12"/>
      <c r="E355" s="12"/>
      <c r="F355" s="11"/>
      <c r="G355" s="11"/>
      <c r="H355" s="10"/>
      <c r="I355" s="12"/>
      <c r="J355" s="12"/>
      <c r="K355" s="10"/>
      <c r="L355" s="12"/>
      <c r="M355" s="10"/>
      <c r="N355" s="10"/>
      <c r="O355" s="10"/>
      <c r="P355" s="10"/>
      <c r="Q355" s="12"/>
      <c r="R355" s="13"/>
      <c r="S355" s="13"/>
      <c r="T355" s="13"/>
      <c r="U355" s="17"/>
      <c r="V355" s="10"/>
      <c r="W355" s="12"/>
      <c r="X355" s="12"/>
      <c r="Y355" s="12"/>
    </row>
    <row r="356" spans="1:25" ht="15" x14ac:dyDescent="0.2">
      <c r="A356" s="10"/>
      <c r="B356" s="10"/>
      <c r="C356" s="10"/>
      <c r="D356" s="12"/>
      <c r="E356" s="12"/>
      <c r="F356" s="11"/>
      <c r="G356" s="10"/>
      <c r="H356" s="10"/>
      <c r="I356" s="12"/>
      <c r="J356" s="12"/>
      <c r="K356" s="10"/>
      <c r="L356" s="12"/>
      <c r="M356" s="10"/>
      <c r="N356" s="10"/>
      <c r="O356" s="10"/>
      <c r="P356" s="10"/>
      <c r="Q356" s="12"/>
      <c r="R356" s="10"/>
      <c r="S356" s="10"/>
      <c r="T356" s="10"/>
      <c r="U356" s="17"/>
      <c r="V356" s="10"/>
      <c r="W356" s="12"/>
      <c r="X356" s="12"/>
      <c r="Y356" s="12"/>
    </row>
    <row r="357" spans="1:25" ht="15" x14ac:dyDescent="0.2">
      <c r="A357" s="10"/>
      <c r="B357" s="10"/>
      <c r="C357" s="10"/>
      <c r="D357" s="12"/>
      <c r="E357" s="12"/>
      <c r="F357" s="11"/>
      <c r="G357" s="10"/>
      <c r="H357" s="10"/>
      <c r="I357" s="12"/>
      <c r="J357" s="12"/>
      <c r="K357" s="10"/>
      <c r="L357" s="12"/>
      <c r="M357" s="10"/>
      <c r="N357" s="10"/>
      <c r="O357" s="10"/>
      <c r="P357" s="10"/>
      <c r="Q357" s="12"/>
      <c r="R357" s="10"/>
      <c r="S357" s="10"/>
      <c r="T357" s="10"/>
      <c r="U357" s="17"/>
      <c r="V357" s="10"/>
      <c r="W357" s="12"/>
      <c r="X357" s="12"/>
      <c r="Y357" s="12"/>
    </row>
    <row r="358" spans="1:25" ht="15" x14ac:dyDescent="0.2">
      <c r="A358" s="10"/>
      <c r="B358" s="10"/>
      <c r="C358" s="10"/>
      <c r="D358" s="10"/>
      <c r="E358" s="12"/>
      <c r="F358" s="11"/>
      <c r="G358" s="11"/>
      <c r="H358" s="10"/>
      <c r="I358" s="12"/>
      <c r="J358" s="12"/>
      <c r="K358" s="10"/>
      <c r="L358" s="12"/>
      <c r="M358" s="12"/>
      <c r="N358" s="10"/>
      <c r="O358" s="10"/>
      <c r="P358" s="10"/>
      <c r="Q358" s="12"/>
      <c r="R358" s="13"/>
      <c r="S358" s="13"/>
      <c r="T358" s="13"/>
      <c r="U358" s="17"/>
      <c r="V358" s="10"/>
      <c r="W358" s="12"/>
      <c r="X358" s="12"/>
      <c r="Y358" s="12"/>
    </row>
    <row r="359" spans="1:25" ht="15" x14ac:dyDescent="0.2">
      <c r="A359" s="10"/>
      <c r="B359" s="10"/>
      <c r="C359" s="10"/>
      <c r="D359" s="10"/>
      <c r="E359" s="12"/>
      <c r="F359" s="11"/>
      <c r="G359" s="11"/>
      <c r="H359" s="10"/>
      <c r="I359" s="12"/>
      <c r="J359" s="12"/>
      <c r="K359" s="10"/>
      <c r="L359" s="12"/>
      <c r="M359" s="12"/>
      <c r="N359" s="10"/>
      <c r="O359" s="10"/>
      <c r="P359" s="10"/>
      <c r="Q359" s="12"/>
      <c r="R359" s="13"/>
      <c r="S359" s="13"/>
      <c r="T359" s="13"/>
      <c r="U359" s="17"/>
      <c r="V359" s="10"/>
      <c r="W359" s="12"/>
      <c r="X359" s="12"/>
      <c r="Y359" s="12"/>
    </row>
    <row r="360" spans="1:25" ht="15" x14ac:dyDescent="0.2">
      <c r="A360" s="10"/>
      <c r="B360" s="10"/>
      <c r="C360" s="10"/>
      <c r="D360" s="10"/>
      <c r="E360" s="12"/>
      <c r="F360" s="11"/>
      <c r="G360" s="11"/>
      <c r="H360" s="10"/>
      <c r="I360" s="12"/>
      <c r="J360" s="12"/>
      <c r="K360" s="10"/>
      <c r="L360" s="12"/>
      <c r="M360" s="12"/>
      <c r="N360" s="10"/>
      <c r="O360" s="10"/>
      <c r="P360" s="10"/>
      <c r="Q360" s="12"/>
      <c r="R360" s="13"/>
      <c r="S360" s="13"/>
      <c r="T360" s="13"/>
      <c r="U360" s="17"/>
      <c r="V360" s="10"/>
      <c r="W360" s="12"/>
      <c r="X360" s="12"/>
      <c r="Y360" s="12"/>
    </row>
    <row r="361" spans="1:25" ht="15" x14ac:dyDescent="0.2">
      <c r="A361" s="10"/>
      <c r="B361" s="10"/>
      <c r="C361" s="10"/>
      <c r="D361" s="10"/>
      <c r="E361" s="12"/>
      <c r="F361" s="11"/>
      <c r="G361" s="11"/>
      <c r="H361" s="10"/>
      <c r="I361" s="12"/>
      <c r="J361" s="12"/>
      <c r="K361" s="10"/>
      <c r="L361" s="12"/>
      <c r="M361" s="10"/>
      <c r="N361" s="10"/>
      <c r="O361" s="10"/>
      <c r="P361" s="10"/>
      <c r="Q361" s="12"/>
      <c r="R361" s="13"/>
      <c r="S361" s="13"/>
      <c r="T361" s="13"/>
      <c r="U361" s="17"/>
      <c r="V361" s="10"/>
      <c r="W361" s="12"/>
      <c r="X361" s="12"/>
      <c r="Y361" s="12"/>
    </row>
    <row r="362" spans="1:25" ht="15" x14ac:dyDescent="0.2">
      <c r="A362" s="10"/>
      <c r="B362" s="10"/>
      <c r="C362" s="10"/>
      <c r="D362" s="12"/>
      <c r="E362" s="12"/>
      <c r="F362" s="11"/>
      <c r="G362" s="10"/>
      <c r="H362" s="10"/>
      <c r="I362" s="12"/>
      <c r="J362" s="12"/>
      <c r="K362" s="10"/>
      <c r="L362" s="12"/>
      <c r="M362" s="10"/>
      <c r="N362" s="10"/>
      <c r="O362" s="10"/>
      <c r="P362" s="10"/>
      <c r="Q362" s="12"/>
      <c r="R362" s="10"/>
      <c r="S362" s="10"/>
      <c r="T362" s="10"/>
      <c r="U362" s="17"/>
      <c r="V362" s="10"/>
      <c r="W362" s="12"/>
      <c r="X362" s="12"/>
      <c r="Y362" s="12"/>
    </row>
    <row r="363" spans="1:25" ht="15" x14ac:dyDescent="0.2">
      <c r="A363" s="10"/>
      <c r="B363" s="10"/>
      <c r="C363" s="10"/>
      <c r="D363" s="10"/>
      <c r="E363" s="12"/>
      <c r="F363" s="11"/>
      <c r="G363" s="11"/>
      <c r="H363" s="10"/>
      <c r="I363" s="12"/>
      <c r="J363" s="12"/>
      <c r="K363" s="10"/>
      <c r="L363" s="12"/>
      <c r="M363" s="10"/>
      <c r="N363" s="12"/>
      <c r="O363" s="10"/>
      <c r="P363" s="10"/>
      <c r="Q363" s="12"/>
      <c r="R363" s="10"/>
      <c r="S363" s="10"/>
      <c r="T363" s="10"/>
      <c r="U363" s="10"/>
      <c r="V363" s="10"/>
      <c r="W363" s="12"/>
      <c r="X363" s="12"/>
      <c r="Y363" s="12"/>
    </row>
    <row r="364" spans="1:25" ht="15" x14ac:dyDescent="0.2">
      <c r="A364" s="10"/>
      <c r="B364" s="10"/>
      <c r="C364" s="10"/>
      <c r="D364" s="10"/>
      <c r="E364" s="12"/>
      <c r="F364" s="11"/>
      <c r="G364" s="11"/>
      <c r="H364" s="10"/>
      <c r="I364" s="12"/>
      <c r="J364" s="12"/>
      <c r="K364" s="10"/>
      <c r="L364" s="12"/>
      <c r="M364" s="10"/>
      <c r="N364" s="12"/>
      <c r="O364" s="10"/>
      <c r="P364" s="10"/>
      <c r="Q364" s="12"/>
      <c r="R364" s="10"/>
      <c r="S364" s="10"/>
      <c r="T364" s="10"/>
      <c r="U364" s="10"/>
      <c r="V364" s="10"/>
      <c r="W364" s="12"/>
      <c r="X364" s="12"/>
      <c r="Y364" s="12"/>
    </row>
    <row r="365" spans="1:25" ht="15" x14ac:dyDescent="0.2">
      <c r="A365" s="10"/>
      <c r="B365" s="10"/>
      <c r="C365" s="10"/>
      <c r="D365" s="10"/>
      <c r="E365" s="12"/>
      <c r="F365" s="11"/>
      <c r="G365" s="11"/>
      <c r="H365" s="10"/>
      <c r="I365" s="12"/>
      <c r="J365" s="12"/>
      <c r="K365" s="10"/>
      <c r="L365" s="12"/>
      <c r="M365" s="10"/>
      <c r="N365" s="12"/>
      <c r="O365" s="10"/>
      <c r="P365" s="10"/>
      <c r="Q365" s="12"/>
      <c r="R365" s="10"/>
      <c r="S365" s="10"/>
      <c r="T365" s="10"/>
      <c r="U365" s="10"/>
      <c r="V365" s="10"/>
      <c r="W365" s="12"/>
      <c r="X365" s="12"/>
      <c r="Y365" s="12"/>
    </row>
    <row r="366" spans="1:25" ht="15" x14ac:dyDescent="0.2">
      <c r="A366" s="10"/>
      <c r="B366" s="10"/>
      <c r="C366" s="10"/>
      <c r="D366" s="10"/>
      <c r="E366" s="12"/>
      <c r="F366" s="11"/>
      <c r="G366" s="11"/>
      <c r="H366" s="10"/>
      <c r="I366" s="12"/>
      <c r="J366" s="12"/>
      <c r="K366" s="10"/>
      <c r="L366" s="12"/>
      <c r="M366" s="10"/>
      <c r="N366" s="12"/>
      <c r="O366" s="10"/>
      <c r="P366" s="10"/>
      <c r="Q366" s="12"/>
      <c r="R366" s="10"/>
      <c r="S366" s="10"/>
      <c r="T366" s="10"/>
      <c r="U366" s="10"/>
      <c r="V366" s="10"/>
      <c r="W366" s="12"/>
      <c r="X366" s="12"/>
      <c r="Y366" s="12"/>
    </row>
    <row r="367" spans="1:25" ht="15" x14ac:dyDescent="0.2">
      <c r="A367" s="10"/>
      <c r="B367" s="10"/>
      <c r="C367" s="10"/>
      <c r="D367" s="10"/>
      <c r="E367" s="12"/>
      <c r="F367" s="11"/>
      <c r="G367" s="11"/>
      <c r="H367" s="10"/>
      <c r="I367" s="12"/>
      <c r="J367" s="12"/>
      <c r="K367" s="10"/>
      <c r="L367" s="12"/>
      <c r="M367" s="12"/>
      <c r="N367" s="10"/>
      <c r="O367" s="10"/>
      <c r="P367" s="10"/>
      <c r="Q367" s="12"/>
      <c r="R367" s="13"/>
      <c r="S367" s="13"/>
      <c r="T367" s="13"/>
      <c r="U367" s="10"/>
      <c r="V367" s="10"/>
      <c r="W367" s="12"/>
      <c r="X367" s="12"/>
      <c r="Y367" s="12"/>
    </row>
    <row r="368" spans="1:25" ht="15" x14ac:dyDescent="0.2">
      <c r="A368" s="10"/>
      <c r="B368" s="10"/>
      <c r="C368" s="10"/>
      <c r="D368" s="10"/>
      <c r="E368" s="12"/>
      <c r="F368" s="11"/>
      <c r="G368" s="11"/>
      <c r="H368" s="10"/>
      <c r="I368" s="12"/>
      <c r="J368" s="12"/>
      <c r="K368" s="10"/>
      <c r="L368" s="12"/>
      <c r="M368" s="10"/>
      <c r="N368" s="12"/>
      <c r="O368" s="10"/>
      <c r="P368" s="10"/>
      <c r="Q368" s="12"/>
      <c r="R368" s="10"/>
      <c r="S368" s="10"/>
      <c r="T368" s="10"/>
      <c r="U368" s="10"/>
      <c r="V368" s="10"/>
      <c r="W368" s="12"/>
      <c r="X368" s="12"/>
      <c r="Y368" s="12"/>
    </row>
    <row r="369" spans="1:25" ht="15" x14ac:dyDescent="0.2">
      <c r="A369" s="10"/>
      <c r="B369" s="10"/>
      <c r="C369" s="10"/>
      <c r="D369" s="10"/>
      <c r="E369" s="12"/>
      <c r="F369" s="11"/>
      <c r="G369" s="11"/>
      <c r="H369" s="10"/>
      <c r="I369" s="12"/>
      <c r="J369" s="12"/>
      <c r="K369" s="10"/>
      <c r="L369" s="12"/>
      <c r="M369" s="10"/>
      <c r="N369" s="12"/>
      <c r="O369" s="10"/>
      <c r="P369" s="10"/>
      <c r="Q369" s="12"/>
      <c r="R369" s="10"/>
      <c r="S369" s="10"/>
      <c r="T369" s="10"/>
      <c r="U369" s="10"/>
      <c r="V369" s="10"/>
      <c r="W369" s="12"/>
      <c r="X369" s="12"/>
      <c r="Y369" s="12"/>
    </row>
    <row r="370" spans="1:25" ht="15" x14ac:dyDescent="0.2">
      <c r="A370" s="10"/>
      <c r="B370" s="10"/>
      <c r="C370" s="10"/>
      <c r="D370" s="10"/>
      <c r="E370" s="12"/>
      <c r="F370" s="11"/>
      <c r="G370" s="11"/>
      <c r="H370" s="10"/>
      <c r="I370" s="12"/>
      <c r="J370" s="12"/>
      <c r="K370" s="10"/>
      <c r="L370" s="12"/>
      <c r="M370" s="10"/>
      <c r="N370" s="12"/>
      <c r="O370" s="10"/>
      <c r="P370" s="10"/>
      <c r="Q370" s="12"/>
      <c r="R370" s="10"/>
      <c r="S370" s="10"/>
      <c r="T370" s="10"/>
      <c r="U370" s="10"/>
      <c r="V370" s="10"/>
      <c r="W370" s="12"/>
      <c r="X370" s="12"/>
      <c r="Y370" s="12"/>
    </row>
    <row r="371" spans="1:25" ht="15" x14ac:dyDescent="0.2">
      <c r="A371" s="10"/>
      <c r="B371" s="10"/>
      <c r="C371" s="10"/>
      <c r="D371" s="10"/>
      <c r="E371" s="12"/>
      <c r="F371" s="11"/>
      <c r="G371" s="11"/>
      <c r="H371" s="10"/>
      <c r="I371" s="12"/>
      <c r="J371" s="12"/>
      <c r="K371" s="10"/>
      <c r="L371" s="12"/>
      <c r="M371" s="10"/>
      <c r="N371" s="12"/>
      <c r="O371" s="10"/>
      <c r="P371" s="10"/>
      <c r="Q371" s="12"/>
      <c r="R371" s="10"/>
      <c r="S371" s="10"/>
      <c r="T371" s="10"/>
      <c r="U371" s="10"/>
      <c r="V371" s="10"/>
      <c r="W371" s="12"/>
      <c r="X371" s="12"/>
      <c r="Y371" s="12"/>
    </row>
    <row r="372" spans="1:25" ht="15" x14ac:dyDescent="0.2">
      <c r="A372" s="10"/>
      <c r="B372" s="10"/>
      <c r="C372" s="10"/>
      <c r="D372" s="10"/>
      <c r="E372" s="12"/>
      <c r="F372" s="11"/>
      <c r="G372" s="11"/>
      <c r="H372" s="10"/>
      <c r="I372" s="12"/>
      <c r="J372" s="12"/>
      <c r="K372" s="10"/>
      <c r="L372" s="12"/>
      <c r="M372" s="10"/>
      <c r="N372" s="12"/>
      <c r="O372" s="10"/>
      <c r="P372" s="10"/>
      <c r="Q372" s="12"/>
      <c r="R372" s="10"/>
      <c r="S372" s="10"/>
      <c r="T372" s="10"/>
      <c r="U372" s="10"/>
      <c r="V372" s="10"/>
      <c r="W372" s="12"/>
      <c r="X372" s="12"/>
      <c r="Y372" s="12"/>
    </row>
    <row r="373" spans="1:25" ht="15" x14ac:dyDescent="0.2">
      <c r="A373" s="10"/>
      <c r="B373" s="10"/>
      <c r="C373" s="10"/>
      <c r="D373" s="10"/>
      <c r="E373" s="12"/>
      <c r="F373" s="11"/>
      <c r="G373" s="11"/>
      <c r="H373" s="10"/>
      <c r="I373" s="12"/>
      <c r="J373" s="12"/>
      <c r="K373" s="10"/>
      <c r="L373" s="12"/>
      <c r="M373" s="10"/>
      <c r="N373" s="12"/>
      <c r="O373" s="10"/>
      <c r="P373" s="10"/>
      <c r="Q373" s="12"/>
      <c r="R373" s="10"/>
      <c r="S373" s="10"/>
      <c r="T373" s="10"/>
      <c r="U373" s="10"/>
      <c r="V373" s="10"/>
      <c r="W373" s="12"/>
      <c r="X373" s="12"/>
      <c r="Y373" s="12"/>
    </row>
    <row r="374" spans="1:25" ht="15" x14ac:dyDescent="0.2">
      <c r="A374" s="10"/>
      <c r="B374" s="10"/>
      <c r="C374" s="10"/>
      <c r="D374" s="10"/>
      <c r="E374" s="12"/>
      <c r="F374" s="11"/>
      <c r="G374" s="11"/>
      <c r="H374" s="10"/>
      <c r="I374" s="12"/>
      <c r="J374" s="12"/>
      <c r="K374" s="10"/>
      <c r="L374" s="12"/>
      <c r="M374" s="10"/>
      <c r="N374" s="12"/>
      <c r="O374" s="10"/>
      <c r="P374" s="10"/>
      <c r="Q374" s="12"/>
      <c r="R374" s="10"/>
      <c r="S374" s="10"/>
      <c r="T374" s="10"/>
      <c r="U374" s="10"/>
      <c r="V374" s="10"/>
      <c r="W374" s="12"/>
      <c r="X374" s="12"/>
      <c r="Y374" s="12"/>
    </row>
    <row r="375" spans="1:25" ht="15" x14ac:dyDescent="0.2">
      <c r="A375" s="10"/>
      <c r="B375" s="10"/>
      <c r="C375" s="10"/>
      <c r="D375" s="10"/>
      <c r="E375" s="12"/>
      <c r="F375" s="11"/>
      <c r="G375" s="11"/>
      <c r="H375" s="10"/>
      <c r="I375" s="12"/>
      <c r="J375" s="12"/>
      <c r="K375" s="10"/>
      <c r="L375" s="12"/>
      <c r="M375" s="10"/>
      <c r="N375" s="12"/>
      <c r="O375" s="10"/>
      <c r="P375" s="10"/>
      <c r="Q375" s="12"/>
      <c r="R375" s="10"/>
      <c r="S375" s="10"/>
      <c r="T375" s="10"/>
      <c r="U375" s="10"/>
      <c r="V375" s="10"/>
      <c r="W375" s="12"/>
      <c r="X375" s="12"/>
      <c r="Y375" s="12"/>
    </row>
    <row r="376" spans="1:25" ht="15" x14ac:dyDescent="0.2">
      <c r="A376" s="10"/>
      <c r="B376" s="10"/>
      <c r="C376" s="10"/>
      <c r="D376" s="10"/>
      <c r="E376" s="12"/>
      <c r="F376" s="11"/>
      <c r="G376" s="11"/>
      <c r="H376" s="10"/>
      <c r="I376" s="12"/>
      <c r="J376" s="12"/>
      <c r="K376" s="10"/>
      <c r="L376" s="12"/>
      <c r="M376" s="10"/>
      <c r="N376" s="12"/>
      <c r="O376" s="10"/>
      <c r="P376" s="10"/>
      <c r="Q376" s="12"/>
      <c r="R376" s="10"/>
      <c r="S376" s="10"/>
      <c r="T376" s="10"/>
      <c r="U376" s="10"/>
      <c r="V376" s="10"/>
      <c r="W376" s="12"/>
      <c r="X376" s="12"/>
      <c r="Y376" s="12"/>
    </row>
    <row r="377" spans="1:25" ht="15" x14ac:dyDescent="0.2">
      <c r="A377" s="10"/>
      <c r="B377" s="10"/>
      <c r="C377" s="10"/>
      <c r="D377" s="10"/>
      <c r="E377" s="12"/>
      <c r="F377" s="11"/>
      <c r="G377" s="11"/>
      <c r="H377" s="10"/>
      <c r="I377" s="12"/>
      <c r="J377" s="12"/>
      <c r="K377" s="10"/>
      <c r="L377" s="12"/>
      <c r="M377" s="10"/>
      <c r="N377" s="12"/>
      <c r="O377" s="10"/>
      <c r="P377" s="10"/>
      <c r="Q377" s="12"/>
      <c r="R377" s="10"/>
      <c r="S377" s="10"/>
      <c r="T377" s="10"/>
      <c r="U377" s="10"/>
      <c r="V377" s="10"/>
      <c r="W377" s="12"/>
      <c r="X377" s="12"/>
      <c r="Y377" s="12"/>
    </row>
    <row r="378" spans="1:25" ht="15" x14ac:dyDescent="0.2">
      <c r="A378" s="10"/>
      <c r="B378" s="10"/>
      <c r="C378" s="10"/>
      <c r="D378" s="10"/>
      <c r="E378" s="12"/>
      <c r="F378" s="11"/>
      <c r="G378" s="11"/>
      <c r="H378" s="10"/>
      <c r="I378" s="12"/>
      <c r="J378" s="12"/>
      <c r="K378" s="10"/>
      <c r="L378" s="12"/>
      <c r="M378" s="10"/>
      <c r="N378" s="12"/>
      <c r="O378" s="10"/>
      <c r="P378" s="10"/>
      <c r="Q378" s="12"/>
      <c r="R378" s="10"/>
      <c r="S378" s="10"/>
      <c r="T378" s="10"/>
      <c r="U378" s="10"/>
      <c r="V378" s="10"/>
      <c r="W378" s="12"/>
      <c r="X378" s="12"/>
      <c r="Y378" s="12"/>
    </row>
    <row r="379" spans="1:25" ht="15" x14ac:dyDescent="0.2">
      <c r="A379" s="10"/>
      <c r="B379" s="10"/>
      <c r="C379" s="10"/>
      <c r="D379" s="10"/>
      <c r="E379" s="12"/>
      <c r="F379" s="11"/>
      <c r="G379" s="11"/>
      <c r="H379" s="10"/>
      <c r="I379" s="12"/>
      <c r="J379" s="12"/>
      <c r="K379" s="10"/>
      <c r="L379" s="12"/>
      <c r="M379" s="10"/>
      <c r="N379" s="12"/>
      <c r="O379" s="10"/>
      <c r="P379" s="10"/>
      <c r="Q379" s="12"/>
      <c r="R379" s="10"/>
      <c r="S379" s="10"/>
      <c r="T379" s="10"/>
      <c r="U379" s="10"/>
      <c r="V379" s="10"/>
      <c r="W379" s="12"/>
      <c r="X379" s="12"/>
      <c r="Y379" s="12"/>
    </row>
    <row r="380" spans="1:25" ht="15" x14ac:dyDescent="0.2">
      <c r="A380" s="10"/>
      <c r="B380" s="10"/>
      <c r="C380" s="10"/>
      <c r="D380" s="10"/>
      <c r="E380" s="12"/>
      <c r="F380" s="11"/>
      <c r="G380" s="11"/>
      <c r="H380" s="10"/>
      <c r="I380" s="12"/>
      <c r="J380" s="12"/>
      <c r="K380" s="10"/>
      <c r="L380" s="12"/>
      <c r="M380" s="10"/>
      <c r="N380" s="12"/>
      <c r="O380" s="10"/>
      <c r="P380" s="10"/>
      <c r="Q380" s="12"/>
      <c r="R380" s="10"/>
      <c r="S380" s="10"/>
      <c r="T380" s="10"/>
      <c r="U380" s="10"/>
      <c r="V380" s="10"/>
      <c r="W380" s="12"/>
      <c r="X380" s="12"/>
      <c r="Y380" s="12"/>
    </row>
    <row r="381" spans="1:25" ht="15" x14ac:dyDescent="0.2">
      <c r="A381" s="10"/>
      <c r="B381" s="10"/>
      <c r="C381" s="10"/>
      <c r="D381" s="10"/>
      <c r="E381" s="12"/>
      <c r="F381" s="11"/>
      <c r="G381" s="11"/>
      <c r="H381" s="10"/>
      <c r="I381" s="12"/>
      <c r="J381" s="12"/>
      <c r="K381" s="10"/>
      <c r="L381" s="12"/>
      <c r="M381" s="10"/>
      <c r="N381" s="12"/>
      <c r="O381" s="10"/>
      <c r="P381" s="10"/>
      <c r="Q381" s="12"/>
      <c r="R381" s="10"/>
      <c r="S381" s="10"/>
      <c r="T381" s="10"/>
      <c r="U381" s="10"/>
      <c r="V381" s="10"/>
      <c r="W381" s="12"/>
      <c r="X381" s="12"/>
      <c r="Y381" s="12"/>
    </row>
    <row r="382" spans="1:25" ht="15" x14ac:dyDescent="0.2">
      <c r="A382" s="10"/>
      <c r="B382" s="10"/>
      <c r="C382" s="10"/>
      <c r="D382" s="10"/>
      <c r="E382" s="12"/>
      <c r="F382" s="11"/>
      <c r="G382" s="11"/>
      <c r="H382" s="10"/>
      <c r="I382" s="12"/>
      <c r="J382" s="12"/>
      <c r="K382" s="10"/>
      <c r="L382" s="12"/>
      <c r="M382" s="12"/>
      <c r="N382" s="10"/>
      <c r="O382" s="10"/>
      <c r="P382" s="10"/>
      <c r="Q382" s="12"/>
      <c r="R382" s="13"/>
      <c r="S382" s="13"/>
      <c r="T382" s="13"/>
      <c r="U382" s="10"/>
      <c r="V382" s="10"/>
      <c r="W382" s="12"/>
      <c r="X382" s="12"/>
      <c r="Y382" s="12"/>
    </row>
    <row r="383" spans="1:25" ht="15" x14ac:dyDescent="0.2">
      <c r="A383" s="10"/>
      <c r="B383" s="10"/>
      <c r="C383" s="10"/>
      <c r="D383" s="10"/>
      <c r="E383" s="12"/>
      <c r="F383" s="11"/>
      <c r="G383" s="11"/>
      <c r="H383" s="10"/>
      <c r="I383" s="12"/>
      <c r="J383" s="12"/>
      <c r="K383" s="10"/>
      <c r="L383" s="12"/>
      <c r="M383" s="12"/>
      <c r="N383" s="10"/>
      <c r="O383" s="10"/>
      <c r="P383" s="10"/>
      <c r="Q383" s="12"/>
      <c r="R383" s="13"/>
      <c r="S383" s="13"/>
      <c r="T383" s="13"/>
      <c r="U383" s="10"/>
      <c r="V383" s="10"/>
      <c r="W383" s="12"/>
      <c r="X383" s="12"/>
      <c r="Y383" s="12"/>
    </row>
    <row r="384" spans="1:25" ht="15" x14ac:dyDescent="0.2">
      <c r="A384" s="10"/>
      <c r="B384" s="10"/>
      <c r="C384" s="10"/>
      <c r="D384" s="10"/>
      <c r="E384" s="12"/>
      <c r="F384" s="11"/>
      <c r="G384" s="11"/>
      <c r="H384" s="10"/>
      <c r="I384" s="12"/>
      <c r="J384" s="12"/>
      <c r="K384" s="10"/>
      <c r="L384" s="12"/>
      <c r="M384" s="12"/>
      <c r="N384" s="10"/>
      <c r="O384" s="10"/>
      <c r="P384" s="10"/>
      <c r="Q384" s="12"/>
      <c r="R384" s="13"/>
      <c r="S384" s="13"/>
      <c r="T384" s="13"/>
      <c r="U384" s="10"/>
      <c r="V384" s="10"/>
      <c r="W384" s="12"/>
      <c r="X384" s="12"/>
      <c r="Y384" s="12"/>
    </row>
    <row r="385" spans="1:25" ht="15" x14ac:dyDescent="0.2">
      <c r="A385" s="10"/>
      <c r="B385" s="10"/>
      <c r="C385" s="10"/>
      <c r="D385" s="10"/>
      <c r="E385" s="12"/>
      <c r="F385" s="11"/>
      <c r="G385" s="11"/>
      <c r="H385" s="10"/>
      <c r="I385" s="12"/>
      <c r="J385" s="12"/>
      <c r="K385" s="10"/>
      <c r="L385" s="12"/>
      <c r="M385" s="12"/>
      <c r="N385" s="10"/>
      <c r="O385" s="10"/>
      <c r="P385" s="10"/>
      <c r="Q385" s="12"/>
      <c r="R385" s="13"/>
      <c r="S385" s="13"/>
      <c r="T385" s="13"/>
      <c r="U385" s="10"/>
      <c r="V385" s="10"/>
      <c r="W385" s="12"/>
      <c r="X385" s="12"/>
      <c r="Y385" s="12"/>
    </row>
    <row r="386" spans="1:25" ht="15" x14ac:dyDescent="0.2">
      <c r="A386" s="10"/>
      <c r="B386" s="10"/>
      <c r="C386" s="10"/>
      <c r="D386" s="10"/>
      <c r="E386" s="12"/>
      <c r="F386" s="11"/>
      <c r="G386" s="11"/>
      <c r="H386" s="10"/>
      <c r="I386" s="12"/>
      <c r="J386" s="12"/>
      <c r="K386" s="10"/>
      <c r="L386" s="12"/>
      <c r="M386" s="12"/>
      <c r="N386" s="10"/>
      <c r="O386" s="10"/>
      <c r="P386" s="10"/>
      <c r="Q386" s="12"/>
      <c r="R386" s="13"/>
      <c r="S386" s="13"/>
      <c r="T386" s="13"/>
      <c r="U386" s="10"/>
      <c r="V386" s="10"/>
      <c r="W386" s="12"/>
      <c r="X386" s="12"/>
      <c r="Y386" s="12"/>
    </row>
    <row r="387" spans="1:25" ht="15" x14ac:dyDescent="0.2">
      <c r="A387" s="10"/>
      <c r="B387" s="10"/>
      <c r="C387" s="10"/>
      <c r="D387" s="10"/>
      <c r="E387" s="12"/>
      <c r="F387" s="11"/>
      <c r="G387" s="11"/>
      <c r="H387" s="10"/>
      <c r="I387" s="12"/>
      <c r="J387" s="12"/>
      <c r="K387" s="10"/>
      <c r="L387" s="12"/>
      <c r="M387" s="10"/>
      <c r="N387" s="10"/>
      <c r="O387" s="10"/>
      <c r="P387" s="10"/>
      <c r="Q387" s="12"/>
      <c r="R387" s="13"/>
      <c r="S387" s="13"/>
      <c r="T387" s="13"/>
      <c r="U387" s="10"/>
      <c r="V387" s="10"/>
      <c r="W387" s="12"/>
      <c r="X387" s="12"/>
      <c r="Y387" s="12"/>
    </row>
    <row r="388" spans="1:25" ht="15" x14ac:dyDescent="0.2">
      <c r="A388" s="10"/>
      <c r="B388" s="10"/>
      <c r="C388" s="10"/>
      <c r="D388" s="10"/>
      <c r="E388" s="12"/>
      <c r="F388" s="11"/>
      <c r="G388" s="11"/>
      <c r="H388" s="10"/>
      <c r="I388" s="12"/>
      <c r="J388" s="12"/>
      <c r="K388" s="10"/>
      <c r="L388" s="12"/>
      <c r="M388" s="10"/>
      <c r="N388" s="10"/>
      <c r="O388" s="10"/>
      <c r="P388" s="10"/>
      <c r="Q388" s="12"/>
      <c r="R388" s="13"/>
      <c r="S388" s="13"/>
      <c r="T388" s="13"/>
      <c r="U388" s="10"/>
      <c r="V388" s="10"/>
      <c r="W388" s="12"/>
      <c r="X388" s="12"/>
      <c r="Y388" s="12"/>
    </row>
    <row r="389" spans="1:25" ht="15" x14ac:dyDescent="0.2">
      <c r="A389" s="10"/>
      <c r="B389" s="10"/>
      <c r="C389" s="10"/>
      <c r="D389" s="12"/>
      <c r="E389" s="12"/>
      <c r="F389" s="11"/>
      <c r="G389" s="11"/>
      <c r="H389" s="10"/>
      <c r="I389" s="12"/>
      <c r="J389" s="12"/>
      <c r="K389" s="10"/>
      <c r="L389" s="12"/>
      <c r="M389" s="10"/>
      <c r="N389" s="10"/>
      <c r="O389" s="10"/>
      <c r="P389" s="10"/>
      <c r="Q389" s="12"/>
      <c r="R389" s="10"/>
      <c r="S389" s="10"/>
      <c r="T389" s="10"/>
      <c r="U389" s="10"/>
      <c r="V389" s="10"/>
      <c r="W389" s="12"/>
      <c r="X389" s="12"/>
      <c r="Y389" s="12"/>
    </row>
    <row r="390" spans="1:25" ht="15" x14ac:dyDescent="0.2">
      <c r="A390" s="10"/>
      <c r="B390" s="10"/>
      <c r="C390" s="10"/>
      <c r="D390" s="10"/>
      <c r="E390" s="12"/>
      <c r="F390" s="11"/>
      <c r="G390" s="11"/>
      <c r="H390" s="10"/>
      <c r="I390" s="12"/>
      <c r="J390" s="12"/>
      <c r="K390" s="10"/>
      <c r="L390" s="12"/>
      <c r="M390" s="10"/>
      <c r="N390" s="12"/>
      <c r="O390" s="10"/>
      <c r="P390" s="10"/>
      <c r="Q390" s="12"/>
      <c r="R390" s="10"/>
      <c r="S390" s="10"/>
      <c r="T390" s="10"/>
      <c r="U390" s="10"/>
      <c r="V390" s="10"/>
      <c r="W390" s="12"/>
      <c r="X390" s="12"/>
      <c r="Y390" s="12"/>
    </row>
    <row r="391" spans="1:25" ht="15" x14ac:dyDescent="0.2">
      <c r="A391" s="10"/>
      <c r="B391" s="10"/>
      <c r="C391" s="10"/>
      <c r="D391" s="10"/>
      <c r="E391" s="12"/>
      <c r="F391" s="11"/>
      <c r="G391" s="11"/>
      <c r="H391" s="10"/>
      <c r="I391" s="12"/>
      <c r="J391" s="12"/>
      <c r="K391" s="10"/>
      <c r="L391" s="12"/>
      <c r="M391" s="12"/>
      <c r="N391" s="10"/>
      <c r="O391" s="10"/>
      <c r="P391" s="10"/>
      <c r="Q391" s="12"/>
      <c r="R391" s="13"/>
      <c r="S391" s="13"/>
      <c r="T391" s="13"/>
      <c r="U391" s="10"/>
      <c r="V391" s="10"/>
      <c r="W391" s="12"/>
      <c r="X391" s="12"/>
      <c r="Y391" s="12"/>
    </row>
    <row r="392" spans="1:25" ht="15" x14ac:dyDescent="0.2">
      <c r="A392" s="10"/>
      <c r="B392" s="10"/>
      <c r="C392" s="10"/>
      <c r="D392" s="10"/>
      <c r="E392" s="12"/>
      <c r="F392" s="11"/>
      <c r="G392" s="11"/>
      <c r="H392" s="10"/>
      <c r="I392" s="12"/>
      <c r="J392" s="12"/>
      <c r="K392" s="10"/>
      <c r="L392" s="12"/>
      <c r="M392" s="12"/>
      <c r="N392" s="10"/>
      <c r="O392" s="10"/>
      <c r="P392" s="10"/>
      <c r="Q392" s="12"/>
      <c r="R392" s="13"/>
      <c r="S392" s="13"/>
      <c r="T392" s="13"/>
      <c r="U392" s="10"/>
      <c r="V392" s="10"/>
      <c r="W392" s="12"/>
      <c r="X392" s="12"/>
      <c r="Y392" s="12"/>
    </row>
    <row r="393" spans="1:25" ht="15" x14ac:dyDescent="0.2">
      <c r="A393" s="10"/>
      <c r="B393" s="10"/>
      <c r="C393" s="10"/>
      <c r="D393" s="10"/>
      <c r="E393" s="12"/>
      <c r="F393" s="11"/>
      <c r="G393" s="11"/>
      <c r="H393" s="10"/>
      <c r="I393" s="12"/>
      <c r="J393" s="12"/>
      <c r="K393" s="10"/>
      <c r="L393" s="12"/>
      <c r="M393" s="10"/>
      <c r="N393" s="10"/>
      <c r="O393" s="10"/>
      <c r="P393" s="10"/>
      <c r="Q393" s="12"/>
      <c r="R393" s="13"/>
      <c r="S393" s="13"/>
      <c r="T393" s="13"/>
      <c r="U393" s="10"/>
      <c r="V393" s="10"/>
      <c r="W393" s="12"/>
      <c r="X393" s="12"/>
      <c r="Y393" s="12"/>
    </row>
    <row r="394" spans="1:25" ht="15" x14ac:dyDescent="0.2">
      <c r="A394" s="10"/>
      <c r="B394" s="10"/>
      <c r="C394" s="10"/>
      <c r="D394" s="12"/>
      <c r="E394" s="12"/>
      <c r="F394" s="11"/>
      <c r="G394" s="10"/>
      <c r="H394" s="10"/>
      <c r="I394" s="12"/>
      <c r="J394" s="12"/>
      <c r="K394" s="10"/>
      <c r="L394" s="12"/>
      <c r="M394" s="10"/>
      <c r="N394" s="10"/>
      <c r="O394" s="10"/>
      <c r="P394" s="10"/>
      <c r="Q394" s="12"/>
      <c r="R394" s="10"/>
      <c r="S394" s="10"/>
      <c r="T394" s="10"/>
      <c r="U394" s="10"/>
      <c r="V394" s="10"/>
      <c r="W394" s="12"/>
      <c r="X394" s="12"/>
      <c r="Y394" s="12"/>
    </row>
    <row r="395" spans="1:25" ht="15" x14ac:dyDescent="0.2">
      <c r="A395" s="10"/>
      <c r="B395" s="10"/>
      <c r="C395" s="10"/>
      <c r="D395" s="10"/>
      <c r="E395" s="12"/>
      <c r="F395" s="11"/>
      <c r="G395" s="11"/>
      <c r="H395" s="10"/>
      <c r="I395" s="12"/>
      <c r="J395" s="12"/>
      <c r="K395" s="10"/>
      <c r="L395" s="12"/>
      <c r="M395" s="12"/>
      <c r="N395" s="10"/>
      <c r="O395" s="10"/>
      <c r="P395" s="10"/>
      <c r="Q395" s="12"/>
      <c r="R395" s="13"/>
      <c r="S395" s="13"/>
      <c r="T395" s="13"/>
      <c r="U395" s="10"/>
      <c r="V395" s="10"/>
      <c r="W395" s="12"/>
      <c r="X395" s="12"/>
      <c r="Y395" s="12"/>
    </row>
    <row r="396" spans="1:25" ht="15" x14ac:dyDescent="0.2">
      <c r="A396" s="10"/>
      <c r="B396" s="10"/>
      <c r="C396" s="10"/>
      <c r="D396" s="10"/>
      <c r="E396" s="12"/>
      <c r="F396" s="11"/>
      <c r="G396" s="11"/>
      <c r="H396" s="10"/>
      <c r="I396" s="12"/>
      <c r="J396" s="12"/>
      <c r="K396" s="10"/>
      <c r="L396" s="12"/>
      <c r="M396" s="10"/>
      <c r="N396" s="10"/>
      <c r="O396" s="10"/>
      <c r="P396" s="10"/>
      <c r="Q396" s="12"/>
      <c r="R396" s="10"/>
      <c r="S396" s="10"/>
      <c r="T396" s="10"/>
      <c r="U396" s="10"/>
      <c r="V396" s="10"/>
      <c r="W396" s="12"/>
      <c r="X396" s="12"/>
      <c r="Y396" s="12"/>
    </row>
    <row r="397" spans="1:25" ht="15" x14ac:dyDescent="0.2">
      <c r="A397" s="10"/>
      <c r="B397" s="10"/>
      <c r="C397" s="10"/>
      <c r="D397" s="10"/>
      <c r="E397" s="16"/>
      <c r="F397" s="11"/>
      <c r="G397" s="11"/>
      <c r="H397" s="10"/>
      <c r="I397" s="16"/>
      <c r="J397" s="16"/>
      <c r="K397" s="10"/>
      <c r="L397" s="16"/>
      <c r="M397" s="10"/>
      <c r="N397" s="10"/>
      <c r="O397" s="10"/>
      <c r="P397" s="10"/>
      <c r="Q397" s="16"/>
      <c r="R397" s="10"/>
      <c r="S397" s="10"/>
      <c r="T397" s="10"/>
      <c r="U397" s="10"/>
      <c r="V397" s="10"/>
      <c r="W397" s="16"/>
      <c r="X397" s="16"/>
      <c r="Y397" s="16"/>
    </row>
    <row r="398" spans="1:25" ht="15" x14ac:dyDescent="0.2">
      <c r="A398" s="10"/>
      <c r="B398" s="10"/>
      <c r="C398" s="10"/>
      <c r="D398" s="10"/>
      <c r="E398" s="12"/>
      <c r="F398" s="11"/>
      <c r="G398" s="11"/>
      <c r="H398" s="10"/>
      <c r="I398" s="12"/>
      <c r="J398" s="12"/>
      <c r="K398" s="10"/>
      <c r="L398" s="12"/>
      <c r="M398" s="12"/>
      <c r="N398" s="10"/>
      <c r="O398" s="10"/>
      <c r="P398" s="10"/>
      <c r="Q398" s="12"/>
      <c r="R398" s="13"/>
      <c r="S398" s="13"/>
      <c r="T398" s="13"/>
      <c r="U398" s="10"/>
      <c r="V398" s="10"/>
      <c r="W398" s="12"/>
      <c r="X398" s="12"/>
      <c r="Y398" s="12"/>
    </row>
    <row r="399" spans="1:25" ht="15" x14ac:dyDescent="0.2">
      <c r="A399" s="10"/>
      <c r="B399" s="10"/>
      <c r="C399" s="10"/>
      <c r="D399" s="10"/>
      <c r="E399" s="12"/>
      <c r="F399" s="11"/>
      <c r="G399" s="11"/>
      <c r="H399" s="10"/>
      <c r="I399" s="12"/>
      <c r="J399" s="12"/>
      <c r="K399" s="10"/>
      <c r="L399" s="12"/>
      <c r="M399" s="12"/>
      <c r="N399" s="10"/>
      <c r="O399" s="10"/>
      <c r="P399" s="10"/>
      <c r="Q399" s="12"/>
      <c r="R399" s="13"/>
      <c r="S399" s="13"/>
      <c r="T399" s="13"/>
      <c r="U399" s="10"/>
      <c r="V399" s="10"/>
      <c r="W399" s="12"/>
      <c r="X399" s="12"/>
      <c r="Y399" s="12"/>
    </row>
    <row r="400" spans="1:25" ht="15" x14ac:dyDescent="0.2">
      <c r="A400" s="10"/>
      <c r="B400" s="10"/>
      <c r="C400" s="10"/>
      <c r="D400" s="12"/>
      <c r="E400" s="12"/>
      <c r="F400" s="11"/>
      <c r="G400" s="10"/>
      <c r="H400" s="10"/>
      <c r="I400" s="12"/>
      <c r="J400" s="12"/>
      <c r="K400" s="10"/>
      <c r="L400" s="12"/>
      <c r="M400" s="10"/>
      <c r="N400" s="10"/>
      <c r="O400" s="10"/>
      <c r="P400" s="10"/>
      <c r="Q400" s="12"/>
      <c r="R400" s="10"/>
      <c r="S400" s="10"/>
      <c r="T400" s="10"/>
      <c r="U400" s="10"/>
      <c r="V400" s="10"/>
      <c r="W400" s="12"/>
      <c r="X400" s="12"/>
      <c r="Y400" s="12"/>
    </row>
    <row r="401" spans="1:25" ht="15" x14ac:dyDescent="0.2">
      <c r="A401" s="10"/>
      <c r="B401" s="10"/>
      <c r="C401" s="10"/>
      <c r="D401" s="12"/>
      <c r="E401" s="12"/>
      <c r="F401" s="11"/>
      <c r="G401" s="10"/>
      <c r="H401" s="10"/>
      <c r="I401" s="12"/>
      <c r="J401" s="12"/>
      <c r="K401" s="10"/>
      <c r="L401" s="12"/>
      <c r="M401" s="10"/>
      <c r="N401" s="10"/>
      <c r="O401" s="10"/>
      <c r="P401" s="10"/>
      <c r="Q401" s="12"/>
      <c r="R401" s="10"/>
      <c r="S401" s="10"/>
      <c r="T401" s="10"/>
      <c r="U401" s="10"/>
      <c r="V401" s="10"/>
      <c r="W401" s="12"/>
      <c r="X401" s="12"/>
      <c r="Y401" s="12"/>
    </row>
    <row r="402" spans="1:25" ht="15" x14ac:dyDescent="0.2">
      <c r="A402" s="10"/>
      <c r="B402" s="10"/>
      <c r="C402" s="10"/>
      <c r="D402" s="10"/>
      <c r="E402" s="12"/>
      <c r="F402" s="11"/>
      <c r="G402" s="11"/>
      <c r="H402" s="10"/>
      <c r="I402" s="12"/>
      <c r="J402" s="12"/>
      <c r="K402" s="10"/>
      <c r="L402" s="12"/>
      <c r="M402" s="10"/>
      <c r="N402" s="10"/>
      <c r="O402" s="10"/>
      <c r="P402" s="10"/>
      <c r="Q402" s="12"/>
      <c r="R402" s="13"/>
      <c r="S402" s="13"/>
      <c r="T402" s="13"/>
      <c r="U402" s="10"/>
      <c r="V402" s="10"/>
      <c r="W402" s="12"/>
      <c r="X402" s="12"/>
      <c r="Y402" s="12"/>
    </row>
    <row r="403" spans="1:25" ht="15" x14ac:dyDescent="0.2">
      <c r="A403" s="10"/>
      <c r="B403" s="10"/>
      <c r="C403" s="10"/>
      <c r="D403" s="12"/>
      <c r="E403" s="12"/>
      <c r="F403" s="11"/>
      <c r="G403" s="11"/>
      <c r="H403" s="10"/>
      <c r="I403" s="12"/>
      <c r="J403" s="12"/>
      <c r="K403" s="10"/>
      <c r="L403" s="12"/>
      <c r="M403" s="10"/>
      <c r="N403" s="10"/>
      <c r="O403" s="10"/>
      <c r="P403" s="10"/>
      <c r="Q403" s="12"/>
      <c r="R403" s="13"/>
      <c r="S403" s="13"/>
      <c r="T403" s="13"/>
      <c r="U403" s="10"/>
      <c r="V403" s="10"/>
      <c r="W403" s="12"/>
      <c r="X403" s="12"/>
      <c r="Y403" s="12"/>
    </row>
    <row r="404" spans="1:25" ht="15" x14ac:dyDescent="0.2">
      <c r="A404" s="10"/>
      <c r="B404" s="10"/>
      <c r="C404" s="10"/>
      <c r="D404" s="10"/>
      <c r="E404" s="12"/>
      <c r="F404" s="11"/>
      <c r="G404" s="11"/>
      <c r="H404" s="10"/>
      <c r="I404" s="12"/>
      <c r="J404" s="12"/>
      <c r="K404" s="10"/>
      <c r="L404" s="12"/>
      <c r="M404" s="12"/>
      <c r="N404" s="10"/>
      <c r="O404" s="10"/>
      <c r="P404" s="10"/>
      <c r="Q404" s="12"/>
      <c r="R404" s="13"/>
      <c r="S404" s="13"/>
      <c r="T404" s="13"/>
      <c r="U404" s="10"/>
      <c r="V404" s="10"/>
      <c r="W404" s="12"/>
      <c r="X404" s="12"/>
      <c r="Y404" s="12"/>
    </row>
    <row r="405" spans="1:25" ht="15" x14ac:dyDescent="0.2">
      <c r="A405" s="10"/>
      <c r="B405" s="10"/>
      <c r="C405" s="10"/>
      <c r="D405" s="12"/>
      <c r="E405" s="12"/>
      <c r="F405" s="11"/>
      <c r="G405" s="11"/>
      <c r="H405" s="10"/>
      <c r="I405" s="12"/>
      <c r="J405" s="12"/>
      <c r="K405" s="12"/>
      <c r="L405" s="10"/>
      <c r="M405" s="10"/>
      <c r="N405" s="10"/>
      <c r="O405" s="10"/>
      <c r="P405" s="10"/>
      <c r="Q405" s="12"/>
      <c r="R405" s="13"/>
      <c r="S405" s="13"/>
      <c r="T405" s="13"/>
      <c r="U405" s="10"/>
      <c r="V405" s="10"/>
      <c r="W405" s="12"/>
      <c r="X405" s="12"/>
      <c r="Y405" s="12"/>
    </row>
    <row r="406" spans="1:25" ht="15" x14ac:dyDescent="0.2">
      <c r="A406" s="10"/>
      <c r="B406" s="10"/>
      <c r="C406" s="10"/>
      <c r="D406" s="10"/>
      <c r="E406" s="12"/>
      <c r="F406" s="11"/>
      <c r="G406" s="10"/>
      <c r="H406" s="10"/>
      <c r="I406" s="12"/>
      <c r="J406" s="12"/>
      <c r="K406" s="10"/>
      <c r="L406" s="12"/>
      <c r="M406" s="10"/>
      <c r="N406" s="10"/>
      <c r="O406" s="10"/>
      <c r="P406" s="10"/>
      <c r="Q406" s="12"/>
      <c r="R406" s="10"/>
      <c r="S406" s="10"/>
      <c r="T406" s="10"/>
      <c r="U406" s="10"/>
      <c r="V406" s="10"/>
      <c r="W406" s="12"/>
      <c r="X406" s="12"/>
      <c r="Y406" s="12"/>
    </row>
    <row r="407" spans="1:25" ht="15" x14ac:dyDescent="0.2">
      <c r="A407" s="10"/>
      <c r="B407" s="10"/>
      <c r="C407" s="10"/>
      <c r="D407" s="10"/>
      <c r="E407" s="12"/>
      <c r="F407" s="11"/>
      <c r="G407" s="10"/>
      <c r="H407" s="10"/>
      <c r="I407" s="12"/>
      <c r="J407" s="12"/>
      <c r="K407" s="10"/>
      <c r="L407" s="12"/>
      <c r="M407" s="10"/>
      <c r="N407" s="10"/>
      <c r="O407" s="10"/>
      <c r="P407" s="10"/>
      <c r="Q407" s="12"/>
      <c r="R407" s="10"/>
      <c r="S407" s="10"/>
      <c r="T407" s="10"/>
      <c r="U407" s="10"/>
      <c r="V407" s="10"/>
      <c r="W407" s="12"/>
      <c r="X407" s="12"/>
      <c r="Y407" s="12"/>
    </row>
    <row r="408" spans="1:25" ht="15" x14ac:dyDescent="0.2">
      <c r="A408" s="10"/>
      <c r="B408" s="10"/>
      <c r="C408" s="10"/>
      <c r="D408" s="10"/>
      <c r="E408" s="12"/>
      <c r="F408" s="11"/>
      <c r="G408" s="11"/>
      <c r="H408" s="10"/>
      <c r="I408" s="12"/>
      <c r="J408" s="12"/>
      <c r="K408" s="10"/>
      <c r="L408" s="12"/>
      <c r="M408" s="12"/>
      <c r="N408" s="10"/>
      <c r="O408" s="10"/>
      <c r="P408" s="10"/>
      <c r="Q408" s="12"/>
      <c r="R408" s="13"/>
      <c r="S408" s="13"/>
      <c r="T408" s="13"/>
      <c r="U408" s="10"/>
      <c r="V408" s="10"/>
      <c r="W408" s="12"/>
      <c r="X408" s="12"/>
      <c r="Y408" s="12"/>
    </row>
    <row r="409" spans="1:25" ht="15" x14ac:dyDescent="0.2">
      <c r="A409" s="10"/>
      <c r="B409" s="10"/>
      <c r="C409" s="10"/>
      <c r="D409" s="12"/>
      <c r="E409" s="12"/>
      <c r="F409" s="11"/>
      <c r="G409" s="11"/>
      <c r="H409" s="10"/>
      <c r="I409" s="12"/>
      <c r="J409" s="12"/>
      <c r="K409" s="10"/>
      <c r="L409" s="12"/>
      <c r="M409" s="10"/>
      <c r="N409" s="10"/>
      <c r="O409" s="10"/>
      <c r="P409" s="10"/>
      <c r="Q409" s="12"/>
      <c r="R409" s="13"/>
      <c r="S409" s="13"/>
      <c r="T409" s="13"/>
      <c r="U409" s="10"/>
      <c r="V409" s="10"/>
      <c r="W409" s="12"/>
      <c r="X409" s="12"/>
      <c r="Y409" s="12"/>
    </row>
    <row r="410" spans="1:25" ht="15" x14ac:dyDescent="0.2">
      <c r="A410" s="10"/>
      <c r="B410" s="10"/>
      <c r="C410" s="10"/>
      <c r="D410" s="10"/>
      <c r="E410" s="12"/>
      <c r="F410" s="11"/>
      <c r="G410" s="11"/>
      <c r="H410" s="10"/>
      <c r="I410" s="12"/>
      <c r="J410" s="12"/>
      <c r="K410" s="10"/>
      <c r="L410" s="12"/>
      <c r="M410" s="12"/>
      <c r="N410" s="10"/>
      <c r="O410" s="10"/>
      <c r="P410" s="10"/>
      <c r="Q410" s="12"/>
      <c r="R410" s="13"/>
      <c r="S410" s="13"/>
      <c r="T410" s="13"/>
      <c r="U410" s="10"/>
      <c r="V410" s="10"/>
      <c r="W410" s="12"/>
      <c r="X410" s="12"/>
      <c r="Y410" s="12"/>
    </row>
    <row r="411" spans="1:25" ht="15" x14ac:dyDescent="0.2">
      <c r="A411" s="10"/>
      <c r="B411" s="10"/>
      <c r="C411" s="10"/>
      <c r="D411" s="12"/>
      <c r="E411" s="12"/>
      <c r="F411" s="11"/>
      <c r="G411" s="11"/>
      <c r="H411" s="10"/>
      <c r="I411" s="12"/>
      <c r="J411" s="12"/>
      <c r="K411" s="10"/>
      <c r="L411" s="12"/>
      <c r="M411" s="10"/>
      <c r="N411" s="10"/>
      <c r="O411" s="10"/>
      <c r="P411" s="10"/>
      <c r="Q411" s="12"/>
      <c r="R411" s="13"/>
      <c r="S411" s="13"/>
      <c r="T411" s="13"/>
      <c r="U411" s="10"/>
      <c r="V411" s="10"/>
      <c r="W411" s="12"/>
      <c r="X411" s="12"/>
      <c r="Y411" s="12"/>
    </row>
  </sheetData>
  <autoFilter ref="A1:AD122" xr:uid="{1BC6234B-F521-4D94-B5D2-A928D8B5D4E7}">
    <filterColumn colId="20">
      <filters>
        <filter val="Strides Arcolab Limited"/>
        <filter val="STRIDES PHARMA GLOBAL PTE LTD"/>
        <filter val="STRIDES PHARMA GLOBAL PTE LTD; UNIVERSAL CORPORATION LTD"/>
        <filter val="Strides Pharma UK Ltd"/>
      </filters>
    </filterColumn>
    <sortState xmlns:xlrd2="http://schemas.microsoft.com/office/spreadsheetml/2017/richdata2" ref="A113:AD118">
      <sortCondition ref="J113:J122"/>
    </sortState>
  </autoFilter>
  <sortState xmlns:xlrd2="http://schemas.microsoft.com/office/spreadsheetml/2017/richdata2" ref="A2:AD122">
    <sortCondition ref="U2:U122"/>
  </sortState>
  <hyperlinks>
    <hyperlink ref="Y1" r:id="rId1" display="http://ref.no/" xr:uid="{1144291B-AAED-43AD-B5D3-7A24FEED90C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C9581-832A-47A5-9861-C2174AF074BA}">
  <sheetPr codeName="Sheet5"/>
  <dimension ref="A1:AA449"/>
  <sheetViews>
    <sheetView topLeftCell="C1" zoomScale="55" zoomScaleNormal="55" workbookViewId="0">
      <pane ySplit="1" topLeftCell="A2" activePane="bottomLeft" state="frozen"/>
      <selection pane="bottomLeft" activeCell="K27" sqref="K27"/>
    </sheetView>
  </sheetViews>
  <sheetFormatPr baseColWidth="10" defaultColWidth="16.6640625" defaultRowHeight="15" x14ac:dyDescent="0.2"/>
  <cols>
    <col min="1" max="1" width="10.83203125" bestFit="1" customWidth="1"/>
    <col min="2" max="2" width="7.5" customWidth="1"/>
    <col min="3" max="3" width="10" bestFit="1" customWidth="1"/>
    <col min="4" max="4" width="39.5" bestFit="1" customWidth="1"/>
    <col min="5" max="5" width="12.5" customWidth="1"/>
    <col min="6" max="6" width="52.5" bestFit="1" customWidth="1"/>
    <col min="7" max="7" width="23.5" bestFit="1" customWidth="1"/>
    <col min="8" max="8" width="19.83203125" bestFit="1" customWidth="1"/>
    <col min="9" max="9" width="29" bestFit="1" customWidth="1"/>
    <col min="10" max="10" width="24.33203125" customWidth="1"/>
    <col min="11" max="11" width="18" bestFit="1" customWidth="1"/>
    <col min="12" max="12" width="18" customWidth="1"/>
    <col min="13" max="16" width="9.1640625"/>
    <col min="18" max="18" width="22.33203125" bestFit="1" customWidth="1"/>
    <col min="19" max="19" width="21.1640625" bestFit="1" customWidth="1"/>
    <col min="20" max="20" width="21.1640625" customWidth="1"/>
    <col min="21" max="22" width="22" bestFit="1" customWidth="1"/>
    <col min="23" max="23" width="18" bestFit="1" customWidth="1"/>
    <col min="24" max="24" width="17.5" bestFit="1" customWidth="1"/>
    <col min="25" max="26" width="21.5" bestFit="1" customWidth="1"/>
    <col min="27" max="27" width="29" bestFit="1" customWidth="1"/>
    <col min="28" max="29" width="25.5" bestFit="1" customWidth="1"/>
    <col min="30" max="30" width="10.5" bestFit="1" customWidth="1"/>
  </cols>
  <sheetData>
    <row r="1" spans="1:27" s="2" customFormat="1" x14ac:dyDescent="0.2">
      <c r="A1" s="2" t="s">
        <v>759</v>
      </c>
      <c r="B1" s="4" t="s">
        <v>760</v>
      </c>
      <c r="C1" s="6" t="s">
        <v>761</v>
      </c>
      <c r="D1" s="4" t="s">
        <v>762</v>
      </c>
      <c r="E1" s="2" t="s">
        <v>763</v>
      </c>
      <c r="F1" s="4" t="s">
        <v>764</v>
      </c>
      <c r="G1" s="6" t="s">
        <v>765</v>
      </c>
      <c r="H1" s="4" t="s">
        <v>766</v>
      </c>
      <c r="I1" s="6" t="s">
        <v>767</v>
      </c>
      <c r="J1" s="4" t="s">
        <v>768</v>
      </c>
      <c r="K1" s="6" t="s">
        <v>769</v>
      </c>
      <c r="L1" s="4" t="s">
        <v>770</v>
      </c>
      <c r="M1" s="7" t="s">
        <v>771</v>
      </c>
      <c r="N1" s="7" t="s">
        <v>772</v>
      </c>
      <c r="O1" s="7" t="s">
        <v>773</v>
      </c>
      <c r="P1" s="8" t="s">
        <v>774</v>
      </c>
      <c r="Q1" s="7" t="s">
        <v>293</v>
      </c>
      <c r="R1" s="9" t="s">
        <v>771</v>
      </c>
      <c r="S1" s="9" t="s">
        <v>772</v>
      </c>
      <c r="T1" s="4" t="s">
        <v>773</v>
      </c>
      <c r="U1" s="9" t="s">
        <v>775</v>
      </c>
      <c r="V1" s="9" t="s">
        <v>776</v>
      </c>
      <c r="W1" s="4" t="s">
        <v>777</v>
      </c>
      <c r="X1" s="9" t="s">
        <v>778</v>
      </c>
      <c r="Y1" s="9" t="s">
        <v>779</v>
      </c>
      <c r="Z1" s="4" t="s">
        <v>780</v>
      </c>
      <c r="AA1" s="2" t="s">
        <v>781</v>
      </c>
    </row>
    <row r="2" spans="1:27" x14ac:dyDescent="0.2">
      <c r="A2" t="s">
        <v>782</v>
      </c>
      <c r="B2">
        <v>1</v>
      </c>
      <c r="C2">
        <v>5</v>
      </c>
      <c r="D2" t="s">
        <v>783</v>
      </c>
      <c r="E2" t="s">
        <v>784</v>
      </c>
      <c r="F2" t="s">
        <v>785</v>
      </c>
      <c r="G2">
        <v>60</v>
      </c>
      <c r="H2" t="s">
        <v>404</v>
      </c>
      <c r="Q2" t="s">
        <v>786</v>
      </c>
      <c r="R2">
        <v>50</v>
      </c>
      <c r="S2">
        <v>5</v>
      </c>
      <c r="T2" t="str">
        <f>IF(S2=".",_xlfn.CONCAT(R2,"mg"),_xlfn.CONCAT(R2,"mg/ ",S2,"ml"))</f>
        <v>50mg/ 5ml</v>
      </c>
      <c r="U2" t="s">
        <v>86</v>
      </c>
      <c r="V2" t="s">
        <v>86</v>
      </c>
      <c r="W2" t="s">
        <v>86</v>
      </c>
      <c r="X2" t="s">
        <v>86</v>
      </c>
      <c r="Y2" t="s">
        <v>86</v>
      </c>
      <c r="Z2" t="s">
        <v>86</v>
      </c>
      <c r="AA2" t="s">
        <v>787</v>
      </c>
    </row>
    <row r="3" spans="1:27" x14ac:dyDescent="0.2">
      <c r="A3" t="s">
        <v>782</v>
      </c>
      <c r="B3">
        <v>2</v>
      </c>
      <c r="C3">
        <v>5</v>
      </c>
      <c r="D3" t="s">
        <v>783</v>
      </c>
      <c r="E3" t="s">
        <v>784</v>
      </c>
      <c r="F3" t="s">
        <v>788</v>
      </c>
      <c r="G3">
        <v>60</v>
      </c>
      <c r="H3" t="s">
        <v>404</v>
      </c>
      <c r="Q3" t="s">
        <v>789</v>
      </c>
      <c r="R3">
        <v>50</v>
      </c>
      <c r="S3">
        <v>5</v>
      </c>
      <c r="T3" t="str">
        <f t="shared" ref="T3:T66" si="0">IF(S3=".",_xlfn.CONCAT(R3,"mg"),_xlfn.CONCAT(R3,"mg/ ",S3,"ml"))</f>
        <v>50mg/ 5ml</v>
      </c>
      <c r="U3" t="s">
        <v>86</v>
      </c>
      <c r="V3" t="s">
        <v>86</v>
      </c>
      <c r="W3" t="s">
        <v>86</v>
      </c>
      <c r="X3" t="s">
        <v>86</v>
      </c>
      <c r="Y3" t="s">
        <v>86</v>
      </c>
      <c r="Z3" t="s">
        <v>86</v>
      </c>
      <c r="AA3" t="s">
        <v>787</v>
      </c>
    </row>
    <row r="4" spans="1:27" x14ac:dyDescent="0.2">
      <c r="A4" t="s">
        <v>782</v>
      </c>
      <c r="B4">
        <v>3</v>
      </c>
      <c r="C4">
        <v>5</v>
      </c>
      <c r="D4" t="s">
        <v>783</v>
      </c>
      <c r="E4" t="s">
        <v>784</v>
      </c>
      <c r="F4" t="s">
        <v>790</v>
      </c>
      <c r="G4">
        <v>60</v>
      </c>
      <c r="H4" t="s">
        <v>404</v>
      </c>
      <c r="Q4" t="s">
        <v>791</v>
      </c>
      <c r="R4">
        <v>50</v>
      </c>
      <c r="S4">
        <v>5</v>
      </c>
      <c r="T4" t="str">
        <f t="shared" si="0"/>
        <v>50mg/ 5ml</v>
      </c>
      <c r="U4" t="s">
        <v>86</v>
      </c>
      <c r="V4" t="s">
        <v>86</v>
      </c>
      <c r="W4" t="s">
        <v>86</v>
      </c>
      <c r="X4" t="s">
        <v>86</v>
      </c>
      <c r="Y4" t="s">
        <v>86</v>
      </c>
      <c r="Z4" t="s">
        <v>86</v>
      </c>
      <c r="AA4" t="s">
        <v>787</v>
      </c>
    </row>
    <row r="5" spans="1:27" x14ac:dyDescent="0.2">
      <c r="A5" t="s">
        <v>782</v>
      </c>
      <c r="B5">
        <v>4</v>
      </c>
      <c r="C5">
        <v>5</v>
      </c>
      <c r="D5" t="s">
        <v>783</v>
      </c>
      <c r="E5" t="s">
        <v>784</v>
      </c>
      <c r="F5" t="s">
        <v>792</v>
      </c>
      <c r="G5">
        <v>61</v>
      </c>
      <c r="H5" t="s">
        <v>323</v>
      </c>
      <c r="I5">
        <v>74</v>
      </c>
      <c r="J5" t="s">
        <v>324</v>
      </c>
      <c r="Q5" t="s">
        <v>793</v>
      </c>
      <c r="R5">
        <v>360</v>
      </c>
      <c r="S5">
        <v>120</v>
      </c>
      <c r="T5" t="str">
        <f t="shared" si="0"/>
        <v>360mg/ 120ml</v>
      </c>
      <c r="U5">
        <v>2160</v>
      </c>
      <c r="V5">
        <v>120</v>
      </c>
      <c r="W5">
        <v>18</v>
      </c>
      <c r="X5" t="s">
        <v>86</v>
      </c>
      <c r="Y5" t="s">
        <v>86</v>
      </c>
      <c r="Z5" t="s">
        <v>86</v>
      </c>
      <c r="AA5" t="s">
        <v>794</v>
      </c>
    </row>
    <row r="6" spans="1:27" x14ac:dyDescent="0.2">
      <c r="A6" t="s">
        <v>782</v>
      </c>
      <c r="B6">
        <v>5</v>
      </c>
      <c r="C6">
        <v>5</v>
      </c>
      <c r="D6" t="s">
        <v>783</v>
      </c>
      <c r="E6" t="s">
        <v>784</v>
      </c>
      <c r="F6" t="s">
        <v>795</v>
      </c>
      <c r="G6">
        <v>61</v>
      </c>
      <c r="H6" t="s">
        <v>323</v>
      </c>
      <c r="I6">
        <v>74</v>
      </c>
      <c r="J6" t="s">
        <v>324</v>
      </c>
      <c r="Q6" t="s">
        <v>328</v>
      </c>
      <c r="R6">
        <v>180</v>
      </c>
      <c r="S6">
        <v>60</v>
      </c>
      <c r="T6" t="str">
        <f t="shared" si="0"/>
        <v>180mg/ 60ml</v>
      </c>
      <c r="U6">
        <v>1080</v>
      </c>
      <c r="V6">
        <v>60</v>
      </c>
      <c r="W6">
        <v>18</v>
      </c>
      <c r="X6" t="s">
        <v>86</v>
      </c>
      <c r="Y6" t="s">
        <v>86</v>
      </c>
      <c r="Z6" t="s">
        <v>86</v>
      </c>
      <c r="AA6" t="s">
        <v>794</v>
      </c>
    </row>
    <row r="7" spans="1:27" x14ac:dyDescent="0.2">
      <c r="A7" t="s">
        <v>782</v>
      </c>
      <c r="B7">
        <v>6</v>
      </c>
      <c r="C7">
        <v>6</v>
      </c>
      <c r="D7" t="s">
        <v>796</v>
      </c>
      <c r="E7" t="s">
        <v>784</v>
      </c>
      <c r="F7" t="s">
        <v>797</v>
      </c>
      <c r="G7">
        <v>61</v>
      </c>
      <c r="H7" t="s">
        <v>323</v>
      </c>
      <c r="Q7" t="s">
        <v>798</v>
      </c>
      <c r="R7">
        <v>80</v>
      </c>
      <c r="S7">
        <v>1</v>
      </c>
      <c r="T7" t="str">
        <f t="shared" si="0"/>
        <v>80mg/ 1ml</v>
      </c>
      <c r="U7" t="s">
        <v>86</v>
      </c>
      <c r="V7" t="s">
        <v>86</v>
      </c>
      <c r="W7" t="s">
        <v>86</v>
      </c>
      <c r="X7" t="s">
        <v>86</v>
      </c>
      <c r="Y7" t="s">
        <v>86</v>
      </c>
      <c r="Z7" t="s">
        <v>86</v>
      </c>
      <c r="AA7" t="s">
        <v>799</v>
      </c>
    </row>
    <row r="8" spans="1:27" x14ac:dyDescent="0.2">
      <c r="A8" t="s">
        <v>782</v>
      </c>
      <c r="B8">
        <v>7</v>
      </c>
      <c r="C8">
        <v>6</v>
      </c>
      <c r="D8" t="s">
        <v>796</v>
      </c>
      <c r="E8" t="s">
        <v>784</v>
      </c>
      <c r="F8" t="s">
        <v>800</v>
      </c>
      <c r="G8">
        <v>61</v>
      </c>
      <c r="H8" t="s">
        <v>323</v>
      </c>
      <c r="Q8" t="s">
        <v>801</v>
      </c>
      <c r="R8">
        <v>80</v>
      </c>
      <c r="S8">
        <v>1</v>
      </c>
      <c r="T8" t="str">
        <f t="shared" si="0"/>
        <v>80mg/ 1ml</v>
      </c>
      <c r="U8" t="s">
        <v>86</v>
      </c>
      <c r="V8" t="s">
        <v>86</v>
      </c>
      <c r="W8" t="s">
        <v>86</v>
      </c>
      <c r="X8" t="s">
        <v>86</v>
      </c>
      <c r="Y8" t="s">
        <v>86</v>
      </c>
      <c r="Z8" t="s">
        <v>86</v>
      </c>
      <c r="AA8" t="s">
        <v>799</v>
      </c>
    </row>
    <row r="9" spans="1:27" x14ac:dyDescent="0.2">
      <c r="A9" t="s">
        <v>782</v>
      </c>
      <c r="B9">
        <v>8</v>
      </c>
      <c r="C9">
        <v>6</v>
      </c>
      <c r="D9" t="s">
        <v>796</v>
      </c>
      <c r="E9" t="s">
        <v>784</v>
      </c>
      <c r="F9" t="s">
        <v>802</v>
      </c>
      <c r="G9">
        <v>61</v>
      </c>
      <c r="H9" t="s">
        <v>323</v>
      </c>
      <c r="Q9" t="s">
        <v>803</v>
      </c>
      <c r="R9">
        <v>80</v>
      </c>
      <c r="S9">
        <v>1</v>
      </c>
      <c r="T9" t="str">
        <f t="shared" si="0"/>
        <v>80mg/ 1ml</v>
      </c>
      <c r="U9" t="s">
        <v>86</v>
      </c>
      <c r="V9" t="s">
        <v>86</v>
      </c>
      <c r="W9" t="s">
        <v>86</v>
      </c>
      <c r="X9" t="s">
        <v>86</v>
      </c>
      <c r="Y9" t="s">
        <v>86</v>
      </c>
      <c r="Z9" t="s">
        <v>86</v>
      </c>
      <c r="AA9" t="s">
        <v>799</v>
      </c>
    </row>
    <row r="10" spans="1:27" x14ac:dyDescent="0.2">
      <c r="A10" t="s">
        <v>782</v>
      </c>
      <c r="B10">
        <v>9</v>
      </c>
      <c r="C10">
        <v>6</v>
      </c>
      <c r="D10" t="s">
        <v>796</v>
      </c>
      <c r="E10" t="s">
        <v>784</v>
      </c>
      <c r="F10" t="s">
        <v>804</v>
      </c>
      <c r="G10">
        <v>61</v>
      </c>
      <c r="H10" t="s">
        <v>323</v>
      </c>
      <c r="Q10" t="s">
        <v>805</v>
      </c>
      <c r="R10">
        <v>80</v>
      </c>
      <c r="S10">
        <v>1</v>
      </c>
      <c r="T10" t="str">
        <f t="shared" si="0"/>
        <v>80mg/ 1ml</v>
      </c>
      <c r="U10" t="s">
        <v>86</v>
      </c>
      <c r="V10" t="s">
        <v>86</v>
      </c>
      <c r="W10" t="s">
        <v>86</v>
      </c>
      <c r="X10" t="s">
        <v>86</v>
      </c>
      <c r="Y10" t="s">
        <v>86</v>
      </c>
      <c r="Z10" t="s">
        <v>86</v>
      </c>
      <c r="AA10" t="s">
        <v>799</v>
      </c>
    </row>
    <row r="11" spans="1:27" x14ac:dyDescent="0.2">
      <c r="A11" t="s">
        <v>782</v>
      </c>
      <c r="B11">
        <v>10</v>
      </c>
      <c r="C11">
        <v>6</v>
      </c>
      <c r="D11" t="s">
        <v>796</v>
      </c>
      <c r="E11" t="s">
        <v>784</v>
      </c>
      <c r="F11" t="s">
        <v>806</v>
      </c>
      <c r="G11">
        <v>61</v>
      </c>
      <c r="H11" t="s">
        <v>323</v>
      </c>
      <c r="Q11" t="s">
        <v>807</v>
      </c>
      <c r="R11">
        <v>80</v>
      </c>
      <c r="S11">
        <v>1</v>
      </c>
      <c r="T11" t="str">
        <f t="shared" si="0"/>
        <v>80mg/ 1ml</v>
      </c>
      <c r="U11" t="s">
        <v>86</v>
      </c>
      <c r="V11" t="s">
        <v>86</v>
      </c>
      <c r="W11" t="s">
        <v>86</v>
      </c>
      <c r="X11" t="s">
        <v>86</v>
      </c>
      <c r="Y11" t="s">
        <v>86</v>
      </c>
      <c r="Z11" t="s">
        <v>86</v>
      </c>
      <c r="AA11" t="s">
        <v>799</v>
      </c>
    </row>
    <row r="12" spans="1:27" x14ac:dyDescent="0.2">
      <c r="A12" t="s">
        <v>782</v>
      </c>
      <c r="B12">
        <v>11</v>
      </c>
      <c r="C12">
        <v>5</v>
      </c>
      <c r="D12" t="s">
        <v>783</v>
      </c>
      <c r="E12" t="s">
        <v>784</v>
      </c>
      <c r="F12" t="s">
        <v>808</v>
      </c>
      <c r="G12">
        <v>61</v>
      </c>
      <c r="H12" t="s">
        <v>323</v>
      </c>
      <c r="I12">
        <v>74</v>
      </c>
      <c r="J12" t="s">
        <v>324</v>
      </c>
      <c r="Q12" t="s">
        <v>809</v>
      </c>
      <c r="R12">
        <v>180</v>
      </c>
      <c r="S12">
        <v>60</v>
      </c>
      <c r="T12" t="str">
        <f t="shared" si="0"/>
        <v>180mg/ 60ml</v>
      </c>
      <c r="U12">
        <v>1080</v>
      </c>
      <c r="V12">
        <v>60</v>
      </c>
      <c r="W12">
        <v>18</v>
      </c>
      <c r="X12" t="s">
        <v>86</v>
      </c>
      <c r="Y12" t="s">
        <v>86</v>
      </c>
      <c r="Z12" t="s">
        <v>86</v>
      </c>
      <c r="AA12" t="s">
        <v>794</v>
      </c>
    </row>
    <row r="13" spans="1:27" x14ac:dyDescent="0.2">
      <c r="A13" t="s">
        <v>782</v>
      </c>
      <c r="B13">
        <v>12</v>
      </c>
      <c r="C13">
        <v>6</v>
      </c>
      <c r="D13" t="s">
        <v>796</v>
      </c>
      <c r="E13" t="s">
        <v>784</v>
      </c>
      <c r="F13" t="s">
        <v>810</v>
      </c>
      <c r="G13">
        <v>61</v>
      </c>
      <c r="H13" t="s">
        <v>323</v>
      </c>
      <c r="Q13" t="s">
        <v>811</v>
      </c>
      <c r="R13">
        <v>100</v>
      </c>
      <c r="S13">
        <v>1</v>
      </c>
      <c r="T13" t="str">
        <f t="shared" si="0"/>
        <v>100mg/ 1ml</v>
      </c>
      <c r="U13" t="s">
        <v>86</v>
      </c>
      <c r="V13" t="s">
        <v>86</v>
      </c>
      <c r="W13" t="s">
        <v>86</v>
      </c>
      <c r="X13" t="s">
        <v>86</v>
      </c>
      <c r="Y13" t="s">
        <v>86</v>
      </c>
      <c r="Z13" t="s">
        <v>86</v>
      </c>
      <c r="AA13" t="s">
        <v>799</v>
      </c>
    </row>
    <row r="14" spans="1:27" x14ac:dyDescent="0.2">
      <c r="A14" t="s">
        <v>782</v>
      </c>
      <c r="B14">
        <v>13</v>
      </c>
      <c r="C14">
        <v>6</v>
      </c>
      <c r="D14" t="s">
        <v>796</v>
      </c>
      <c r="E14" t="s">
        <v>784</v>
      </c>
      <c r="F14" t="s">
        <v>812</v>
      </c>
      <c r="G14">
        <v>61</v>
      </c>
      <c r="H14" t="s">
        <v>323</v>
      </c>
      <c r="Q14" t="s">
        <v>813</v>
      </c>
      <c r="R14">
        <v>20</v>
      </c>
      <c r="S14">
        <v>1</v>
      </c>
      <c r="T14" t="str">
        <f t="shared" si="0"/>
        <v>20mg/ 1ml</v>
      </c>
      <c r="U14" t="s">
        <v>86</v>
      </c>
      <c r="V14" t="s">
        <v>86</v>
      </c>
      <c r="W14" t="s">
        <v>86</v>
      </c>
      <c r="X14" t="s">
        <v>86</v>
      </c>
      <c r="Y14" t="s">
        <v>86</v>
      </c>
      <c r="Z14" t="s">
        <v>86</v>
      </c>
      <c r="AA14" t="s">
        <v>799</v>
      </c>
    </row>
    <row r="15" spans="1:27" x14ac:dyDescent="0.2">
      <c r="A15" t="s">
        <v>782</v>
      </c>
      <c r="B15">
        <v>14</v>
      </c>
      <c r="C15">
        <v>6</v>
      </c>
      <c r="D15" t="s">
        <v>796</v>
      </c>
      <c r="E15" t="s">
        <v>784</v>
      </c>
      <c r="F15" t="s">
        <v>814</v>
      </c>
      <c r="G15">
        <v>61</v>
      </c>
      <c r="H15" t="s">
        <v>323</v>
      </c>
      <c r="Q15" t="s">
        <v>813</v>
      </c>
      <c r="R15">
        <v>80</v>
      </c>
      <c r="S15">
        <v>1</v>
      </c>
      <c r="T15" t="str">
        <f t="shared" si="0"/>
        <v>80mg/ 1ml</v>
      </c>
      <c r="U15" t="s">
        <v>86</v>
      </c>
      <c r="V15" t="s">
        <v>86</v>
      </c>
      <c r="W15" t="s">
        <v>86</v>
      </c>
      <c r="X15" t="s">
        <v>86</v>
      </c>
      <c r="Y15" t="s">
        <v>86</v>
      </c>
      <c r="Z15" t="s">
        <v>86</v>
      </c>
      <c r="AA15" t="s">
        <v>799</v>
      </c>
    </row>
    <row r="16" spans="1:27" x14ac:dyDescent="0.2">
      <c r="A16" t="s">
        <v>782</v>
      </c>
      <c r="B16">
        <v>15</v>
      </c>
      <c r="C16">
        <v>5</v>
      </c>
      <c r="D16" t="s">
        <v>783</v>
      </c>
      <c r="E16" t="s">
        <v>784</v>
      </c>
      <c r="F16" t="s">
        <v>815</v>
      </c>
      <c r="G16">
        <v>61</v>
      </c>
      <c r="H16" t="s">
        <v>323</v>
      </c>
      <c r="I16">
        <v>74</v>
      </c>
      <c r="J16" t="s">
        <v>324</v>
      </c>
      <c r="Q16" t="s">
        <v>816</v>
      </c>
      <c r="R16">
        <v>180</v>
      </c>
      <c r="S16">
        <v>60</v>
      </c>
      <c r="T16" t="str">
        <f t="shared" si="0"/>
        <v>180mg/ 60ml</v>
      </c>
      <c r="U16">
        <v>1080</v>
      </c>
      <c r="V16">
        <v>60</v>
      </c>
      <c r="W16">
        <v>18</v>
      </c>
      <c r="X16" t="s">
        <v>86</v>
      </c>
      <c r="Y16" t="s">
        <v>86</v>
      </c>
      <c r="Z16" t="s">
        <v>86</v>
      </c>
      <c r="AA16" t="s">
        <v>794</v>
      </c>
    </row>
    <row r="17" spans="1:27" x14ac:dyDescent="0.2">
      <c r="A17" t="s">
        <v>782</v>
      </c>
      <c r="B17">
        <v>16</v>
      </c>
      <c r="C17">
        <v>5</v>
      </c>
      <c r="D17" t="s">
        <v>783</v>
      </c>
      <c r="E17" t="s">
        <v>784</v>
      </c>
      <c r="F17" t="s">
        <v>817</v>
      </c>
      <c r="G17">
        <v>61</v>
      </c>
      <c r="H17" t="s">
        <v>323</v>
      </c>
      <c r="I17">
        <v>74</v>
      </c>
      <c r="J17" t="s">
        <v>324</v>
      </c>
      <c r="Q17" t="s">
        <v>807</v>
      </c>
      <c r="R17">
        <v>180</v>
      </c>
      <c r="S17">
        <v>60</v>
      </c>
      <c r="T17" t="str">
        <f t="shared" si="0"/>
        <v>180mg/ 60ml</v>
      </c>
      <c r="U17">
        <v>1080</v>
      </c>
      <c r="V17">
        <v>60</v>
      </c>
      <c r="W17">
        <v>18</v>
      </c>
      <c r="X17" t="s">
        <v>86</v>
      </c>
      <c r="Y17" t="s">
        <v>86</v>
      </c>
      <c r="Z17" t="s">
        <v>86</v>
      </c>
      <c r="AA17" t="s">
        <v>794</v>
      </c>
    </row>
    <row r="18" spans="1:27" x14ac:dyDescent="0.2">
      <c r="A18" t="s">
        <v>782</v>
      </c>
      <c r="B18">
        <v>17</v>
      </c>
      <c r="C18">
        <v>5</v>
      </c>
      <c r="D18" t="s">
        <v>783</v>
      </c>
      <c r="E18" t="s">
        <v>784</v>
      </c>
      <c r="F18" t="s">
        <v>818</v>
      </c>
      <c r="G18">
        <v>61</v>
      </c>
      <c r="H18" t="s">
        <v>323</v>
      </c>
      <c r="I18">
        <v>74</v>
      </c>
      <c r="J18" t="s">
        <v>324</v>
      </c>
      <c r="Q18" t="s">
        <v>819</v>
      </c>
      <c r="R18">
        <v>20</v>
      </c>
      <c r="S18">
        <v>5</v>
      </c>
      <c r="T18" t="str">
        <f t="shared" si="0"/>
        <v>20mg/ 5ml</v>
      </c>
      <c r="U18">
        <v>120</v>
      </c>
      <c r="V18">
        <v>5</v>
      </c>
      <c r="W18">
        <v>24</v>
      </c>
      <c r="X18" t="s">
        <v>86</v>
      </c>
      <c r="Y18" t="s">
        <v>86</v>
      </c>
      <c r="Z18" t="s">
        <v>86</v>
      </c>
      <c r="AA18" t="s">
        <v>794</v>
      </c>
    </row>
    <row r="19" spans="1:27" x14ac:dyDescent="0.2">
      <c r="A19" t="s">
        <v>782</v>
      </c>
      <c r="B19">
        <v>18</v>
      </c>
      <c r="C19">
        <v>5</v>
      </c>
      <c r="D19" t="s">
        <v>783</v>
      </c>
      <c r="E19" t="s">
        <v>784</v>
      </c>
      <c r="F19" t="s">
        <v>820</v>
      </c>
      <c r="G19">
        <v>61</v>
      </c>
      <c r="H19" t="s">
        <v>323</v>
      </c>
      <c r="I19">
        <v>74</v>
      </c>
      <c r="J19" t="s">
        <v>324</v>
      </c>
      <c r="Q19" t="s">
        <v>819</v>
      </c>
      <c r="R19">
        <v>40</v>
      </c>
      <c r="S19">
        <v>5</v>
      </c>
      <c r="T19" t="str">
        <f t="shared" si="0"/>
        <v>40mg/ 5ml</v>
      </c>
      <c r="U19">
        <v>240</v>
      </c>
      <c r="V19">
        <v>5</v>
      </c>
      <c r="W19">
        <v>48</v>
      </c>
      <c r="X19" t="s">
        <v>86</v>
      </c>
      <c r="Y19" t="s">
        <v>86</v>
      </c>
      <c r="Z19" t="s">
        <v>86</v>
      </c>
      <c r="AA19" t="s">
        <v>794</v>
      </c>
    </row>
    <row r="20" spans="1:27" x14ac:dyDescent="0.2">
      <c r="A20" t="s">
        <v>782</v>
      </c>
      <c r="B20">
        <v>19</v>
      </c>
      <c r="C20">
        <v>5</v>
      </c>
      <c r="D20" t="s">
        <v>783</v>
      </c>
      <c r="E20" t="s">
        <v>784</v>
      </c>
      <c r="F20" t="s">
        <v>821</v>
      </c>
      <c r="G20">
        <v>61</v>
      </c>
      <c r="H20" t="s">
        <v>323</v>
      </c>
      <c r="I20">
        <v>74</v>
      </c>
      <c r="J20" t="s">
        <v>324</v>
      </c>
      <c r="Q20" t="s">
        <v>819</v>
      </c>
      <c r="R20">
        <v>60</v>
      </c>
      <c r="S20">
        <v>5</v>
      </c>
      <c r="T20" t="str">
        <f t="shared" si="0"/>
        <v>60mg/ 5ml</v>
      </c>
      <c r="U20">
        <v>360</v>
      </c>
      <c r="V20">
        <v>5</v>
      </c>
      <c r="W20">
        <v>72</v>
      </c>
      <c r="X20" t="s">
        <v>86</v>
      </c>
      <c r="Y20" t="s">
        <v>86</v>
      </c>
      <c r="Z20" t="s">
        <v>86</v>
      </c>
      <c r="AA20" t="s">
        <v>794</v>
      </c>
    </row>
    <row r="21" spans="1:27" x14ac:dyDescent="0.2">
      <c r="A21" t="s">
        <v>782</v>
      </c>
      <c r="B21">
        <v>20</v>
      </c>
      <c r="C21">
        <v>5</v>
      </c>
      <c r="D21" t="s">
        <v>783</v>
      </c>
      <c r="E21" t="s">
        <v>784</v>
      </c>
      <c r="F21" t="s">
        <v>822</v>
      </c>
      <c r="G21">
        <v>61</v>
      </c>
      <c r="H21" t="s">
        <v>323</v>
      </c>
      <c r="I21">
        <v>74</v>
      </c>
      <c r="J21" t="s">
        <v>324</v>
      </c>
      <c r="Q21" t="s">
        <v>813</v>
      </c>
      <c r="R21">
        <v>180</v>
      </c>
      <c r="S21">
        <v>60</v>
      </c>
      <c r="T21" t="str">
        <f t="shared" si="0"/>
        <v>180mg/ 60ml</v>
      </c>
      <c r="U21">
        <v>1080</v>
      </c>
      <c r="V21">
        <v>60</v>
      </c>
      <c r="W21">
        <v>18</v>
      </c>
      <c r="X21" t="s">
        <v>86</v>
      </c>
      <c r="Y21" t="s">
        <v>86</v>
      </c>
      <c r="Z21" t="s">
        <v>86</v>
      </c>
      <c r="AA21" t="s">
        <v>794</v>
      </c>
    </row>
    <row r="22" spans="1:27" x14ac:dyDescent="0.2">
      <c r="A22" t="s">
        <v>782</v>
      </c>
      <c r="B22">
        <v>21</v>
      </c>
      <c r="C22">
        <v>5</v>
      </c>
      <c r="D22" t="s">
        <v>783</v>
      </c>
      <c r="E22" t="s">
        <v>784</v>
      </c>
      <c r="F22" t="s">
        <v>823</v>
      </c>
      <c r="G22">
        <v>61</v>
      </c>
      <c r="H22" t="s">
        <v>323</v>
      </c>
      <c r="I22">
        <v>74</v>
      </c>
      <c r="J22" t="s">
        <v>324</v>
      </c>
      <c r="Q22" t="s">
        <v>813</v>
      </c>
      <c r="R22">
        <v>360</v>
      </c>
      <c r="S22">
        <v>120</v>
      </c>
      <c r="T22" t="str">
        <f t="shared" si="0"/>
        <v>360mg/ 120ml</v>
      </c>
      <c r="U22">
        <v>2160</v>
      </c>
      <c r="V22">
        <v>120</v>
      </c>
      <c r="W22">
        <v>18</v>
      </c>
      <c r="X22" t="s">
        <v>86</v>
      </c>
      <c r="Y22" t="s">
        <v>86</v>
      </c>
      <c r="Z22" t="s">
        <v>86</v>
      </c>
      <c r="AA22" t="s">
        <v>794</v>
      </c>
    </row>
    <row r="23" spans="1:27" x14ac:dyDescent="0.2">
      <c r="A23" t="s">
        <v>782</v>
      </c>
      <c r="B23">
        <v>22</v>
      </c>
      <c r="C23">
        <v>5</v>
      </c>
      <c r="D23" t="s">
        <v>783</v>
      </c>
      <c r="E23" t="s">
        <v>784</v>
      </c>
      <c r="F23" t="s">
        <v>824</v>
      </c>
      <c r="G23">
        <v>61</v>
      </c>
      <c r="H23" t="s">
        <v>323</v>
      </c>
      <c r="I23">
        <v>74</v>
      </c>
      <c r="J23" t="s">
        <v>324</v>
      </c>
      <c r="Q23" t="s">
        <v>825</v>
      </c>
      <c r="R23">
        <v>180</v>
      </c>
      <c r="S23">
        <v>60</v>
      </c>
      <c r="T23" t="str">
        <f t="shared" si="0"/>
        <v>180mg/ 60ml</v>
      </c>
      <c r="U23">
        <v>1080</v>
      </c>
      <c r="V23">
        <v>60</v>
      </c>
      <c r="W23">
        <v>18</v>
      </c>
      <c r="X23" t="s">
        <v>86</v>
      </c>
      <c r="Y23" t="s">
        <v>86</v>
      </c>
      <c r="Z23" t="s">
        <v>86</v>
      </c>
      <c r="AA23" t="s">
        <v>794</v>
      </c>
    </row>
    <row r="24" spans="1:27" x14ac:dyDescent="0.2">
      <c r="A24" t="s">
        <v>782</v>
      </c>
      <c r="B24">
        <v>23</v>
      </c>
      <c r="C24">
        <v>5</v>
      </c>
      <c r="D24" t="s">
        <v>783</v>
      </c>
      <c r="E24" t="s">
        <v>784</v>
      </c>
      <c r="F24" t="s">
        <v>826</v>
      </c>
      <c r="G24">
        <v>61</v>
      </c>
      <c r="H24" t="s">
        <v>323</v>
      </c>
      <c r="I24">
        <v>74</v>
      </c>
      <c r="J24" t="s">
        <v>324</v>
      </c>
      <c r="Q24" t="s">
        <v>827</v>
      </c>
      <c r="R24">
        <v>180</v>
      </c>
      <c r="S24">
        <v>60</v>
      </c>
      <c r="T24" t="str">
        <f t="shared" si="0"/>
        <v>180mg/ 60ml</v>
      </c>
      <c r="U24">
        <v>1080</v>
      </c>
      <c r="V24">
        <v>60</v>
      </c>
      <c r="W24">
        <v>18</v>
      </c>
      <c r="X24" t="s">
        <v>86</v>
      </c>
      <c r="Y24" t="s">
        <v>86</v>
      </c>
      <c r="Z24" t="s">
        <v>86</v>
      </c>
      <c r="AA24" t="s">
        <v>794</v>
      </c>
    </row>
    <row r="25" spans="1:27" x14ac:dyDescent="0.2">
      <c r="A25" t="s">
        <v>782</v>
      </c>
      <c r="B25">
        <v>24</v>
      </c>
      <c r="C25">
        <v>5</v>
      </c>
      <c r="D25" t="s">
        <v>783</v>
      </c>
      <c r="E25" t="s">
        <v>784</v>
      </c>
      <c r="F25" t="s">
        <v>828</v>
      </c>
      <c r="G25">
        <v>61</v>
      </c>
      <c r="H25" t="s">
        <v>323</v>
      </c>
      <c r="I25">
        <v>74</v>
      </c>
      <c r="J25" t="s">
        <v>324</v>
      </c>
      <c r="Q25" t="s">
        <v>829</v>
      </c>
      <c r="R25">
        <v>180</v>
      </c>
      <c r="S25">
        <v>60</v>
      </c>
      <c r="T25" t="str">
        <f t="shared" si="0"/>
        <v>180mg/ 60ml</v>
      </c>
      <c r="U25">
        <v>1080</v>
      </c>
      <c r="V25">
        <v>60</v>
      </c>
      <c r="W25">
        <v>18</v>
      </c>
      <c r="X25" t="s">
        <v>86</v>
      </c>
      <c r="Y25" t="s">
        <v>86</v>
      </c>
      <c r="Z25" t="s">
        <v>86</v>
      </c>
      <c r="AA25" t="s">
        <v>794</v>
      </c>
    </row>
    <row r="26" spans="1:27" x14ac:dyDescent="0.2">
      <c r="A26" t="s">
        <v>782</v>
      </c>
      <c r="B26">
        <v>25</v>
      </c>
      <c r="C26">
        <v>5</v>
      </c>
      <c r="D26" t="s">
        <v>783</v>
      </c>
      <c r="E26" t="s">
        <v>784</v>
      </c>
      <c r="F26" t="s">
        <v>830</v>
      </c>
      <c r="G26">
        <v>61</v>
      </c>
      <c r="H26" t="s">
        <v>323</v>
      </c>
      <c r="I26">
        <v>74</v>
      </c>
      <c r="J26" t="s">
        <v>324</v>
      </c>
      <c r="Q26" t="s">
        <v>831</v>
      </c>
      <c r="R26">
        <v>180</v>
      </c>
      <c r="S26">
        <v>60</v>
      </c>
      <c r="T26" t="str">
        <f t="shared" si="0"/>
        <v>180mg/ 60ml</v>
      </c>
      <c r="U26">
        <v>1080</v>
      </c>
      <c r="V26">
        <v>60</v>
      </c>
      <c r="W26">
        <v>18</v>
      </c>
      <c r="X26" t="s">
        <v>86</v>
      </c>
      <c r="Y26" t="s">
        <v>86</v>
      </c>
      <c r="Z26" t="s">
        <v>86</v>
      </c>
      <c r="AA26" t="s">
        <v>794</v>
      </c>
    </row>
    <row r="27" spans="1:27" x14ac:dyDescent="0.2">
      <c r="A27" t="s">
        <v>782</v>
      </c>
      <c r="B27">
        <v>26</v>
      </c>
      <c r="C27">
        <v>6</v>
      </c>
      <c r="D27" t="s">
        <v>796</v>
      </c>
      <c r="E27" t="s">
        <v>784</v>
      </c>
      <c r="F27" t="s">
        <v>832</v>
      </c>
      <c r="G27">
        <v>61</v>
      </c>
      <c r="H27" t="s">
        <v>323</v>
      </c>
      <c r="Q27" t="s">
        <v>825</v>
      </c>
      <c r="R27">
        <v>80</v>
      </c>
      <c r="S27">
        <v>1</v>
      </c>
      <c r="T27" t="str">
        <f t="shared" si="0"/>
        <v>80mg/ 1ml</v>
      </c>
      <c r="U27" t="s">
        <v>86</v>
      </c>
      <c r="V27" t="s">
        <v>86</v>
      </c>
      <c r="W27" t="s">
        <v>86</v>
      </c>
      <c r="X27" t="s">
        <v>86</v>
      </c>
      <c r="Y27" t="s">
        <v>86</v>
      </c>
      <c r="Z27" t="s">
        <v>86</v>
      </c>
      <c r="AA27" t="s">
        <v>799</v>
      </c>
    </row>
    <row r="28" spans="1:27" x14ac:dyDescent="0.2">
      <c r="A28" t="s">
        <v>782</v>
      </c>
      <c r="B28">
        <v>27</v>
      </c>
      <c r="C28">
        <v>6</v>
      </c>
      <c r="D28" t="s">
        <v>796</v>
      </c>
      <c r="E28" t="s">
        <v>784</v>
      </c>
      <c r="F28" t="s">
        <v>833</v>
      </c>
      <c r="G28">
        <v>61</v>
      </c>
      <c r="H28" t="s">
        <v>323</v>
      </c>
      <c r="Q28" t="s">
        <v>805</v>
      </c>
      <c r="R28">
        <v>80</v>
      </c>
      <c r="S28">
        <v>1</v>
      </c>
      <c r="T28" t="str">
        <f t="shared" si="0"/>
        <v>80mg/ 1ml</v>
      </c>
      <c r="U28" t="s">
        <v>86</v>
      </c>
      <c r="V28" t="s">
        <v>86</v>
      </c>
      <c r="W28" t="s">
        <v>86</v>
      </c>
      <c r="X28" t="s">
        <v>86</v>
      </c>
      <c r="Y28" t="s">
        <v>86</v>
      </c>
      <c r="Z28" t="s">
        <v>86</v>
      </c>
      <c r="AA28" t="s">
        <v>799</v>
      </c>
    </row>
    <row r="29" spans="1:27" x14ac:dyDescent="0.2">
      <c r="A29" t="s">
        <v>782</v>
      </c>
      <c r="B29">
        <v>28</v>
      </c>
      <c r="C29">
        <v>5</v>
      </c>
      <c r="D29" t="s">
        <v>783</v>
      </c>
      <c r="E29" t="s">
        <v>784</v>
      </c>
      <c r="F29" t="s">
        <v>834</v>
      </c>
      <c r="G29">
        <v>61</v>
      </c>
      <c r="H29" t="s">
        <v>323</v>
      </c>
      <c r="I29">
        <v>74</v>
      </c>
      <c r="J29" t="s">
        <v>324</v>
      </c>
      <c r="Q29" t="s">
        <v>835</v>
      </c>
      <c r="R29">
        <v>180</v>
      </c>
      <c r="S29">
        <v>60</v>
      </c>
      <c r="T29" t="str">
        <f t="shared" si="0"/>
        <v>180mg/ 60ml</v>
      </c>
      <c r="U29">
        <v>1080</v>
      </c>
      <c r="V29">
        <v>60</v>
      </c>
      <c r="W29">
        <v>18</v>
      </c>
      <c r="X29" t="s">
        <v>86</v>
      </c>
      <c r="Y29" t="s">
        <v>86</v>
      </c>
      <c r="Z29" t="s">
        <v>86</v>
      </c>
      <c r="AA29" t="s">
        <v>794</v>
      </c>
    </row>
    <row r="30" spans="1:27" x14ac:dyDescent="0.2">
      <c r="A30" t="s">
        <v>782</v>
      </c>
      <c r="B30">
        <v>29</v>
      </c>
      <c r="C30">
        <v>6</v>
      </c>
      <c r="D30" t="s">
        <v>796</v>
      </c>
      <c r="E30" t="s">
        <v>784</v>
      </c>
      <c r="F30" t="s">
        <v>836</v>
      </c>
      <c r="G30">
        <v>61</v>
      </c>
      <c r="H30" t="s">
        <v>323</v>
      </c>
      <c r="Q30" t="s">
        <v>538</v>
      </c>
      <c r="R30">
        <v>80</v>
      </c>
      <c r="S30">
        <v>1</v>
      </c>
      <c r="T30" t="str">
        <f t="shared" si="0"/>
        <v>80mg/ 1ml</v>
      </c>
      <c r="U30" t="s">
        <v>86</v>
      </c>
      <c r="V30" t="s">
        <v>86</v>
      </c>
      <c r="W30" t="s">
        <v>86</v>
      </c>
      <c r="X30" t="s">
        <v>86</v>
      </c>
      <c r="Y30" t="s">
        <v>86</v>
      </c>
      <c r="Z30" t="s">
        <v>86</v>
      </c>
      <c r="AA30" t="s">
        <v>799</v>
      </c>
    </row>
    <row r="31" spans="1:27" x14ac:dyDescent="0.2">
      <c r="A31" t="s">
        <v>782</v>
      </c>
      <c r="B31">
        <v>30</v>
      </c>
      <c r="C31">
        <v>5</v>
      </c>
      <c r="D31" t="s">
        <v>783</v>
      </c>
      <c r="E31" t="s">
        <v>784</v>
      </c>
      <c r="F31" t="s">
        <v>837</v>
      </c>
      <c r="G31">
        <v>61</v>
      </c>
      <c r="H31" t="s">
        <v>323</v>
      </c>
      <c r="I31">
        <v>74</v>
      </c>
      <c r="J31" t="s">
        <v>324</v>
      </c>
      <c r="Q31" t="s">
        <v>838</v>
      </c>
      <c r="R31">
        <v>180</v>
      </c>
      <c r="S31">
        <v>60</v>
      </c>
      <c r="T31" t="str">
        <f t="shared" si="0"/>
        <v>180mg/ 60ml</v>
      </c>
      <c r="U31">
        <v>1080</v>
      </c>
      <c r="V31">
        <v>60</v>
      </c>
      <c r="W31">
        <v>18</v>
      </c>
      <c r="X31" t="s">
        <v>86</v>
      </c>
      <c r="Y31" t="s">
        <v>86</v>
      </c>
      <c r="Z31" t="s">
        <v>86</v>
      </c>
      <c r="AA31" t="s">
        <v>794</v>
      </c>
    </row>
    <row r="32" spans="1:27" x14ac:dyDescent="0.2">
      <c r="A32" t="s">
        <v>782</v>
      </c>
      <c r="B32">
        <v>31</v>
      </c>
      <c r="C32">
        <v>6</v>
      </c>
      <c r="D32" t="s">
        <v>796</v>
      </c>
      <c r="E32" t="s">
        <v>784</v>
      </c>
      <c r="F32" t="s">
        <v>839</v>
      </c>
      <c r="G32">
        <v>61</v>
      </c>
      <c r="H32" t="s">
        <v>323</v>
      </c>
      <c r="Q32" t="s">
        <v>840</v>
      </c>
      <c r="R32">
        <v>80</v>
      </c>
      <c r="S32">
        <v>1</v>
      </c>
      <c r="T32" t="str">
        <f t="shared" si="0"/>
        <v>80mg/ 1ml</v>
      </c>
      <c r="U32" t="s">
        <v>86</v>
      </c>
      <c r="V32" t="s">
        <v>86</v>
      </c>
      <c r="W32" t="s">
        <v>86</v>
      </c>
      <c r="X32" t="s">
        <v>86</v>
      </c>
      <c r="Y32" t="s">
        <v>86</v>
      </c>
      <c r="Z32" t="s">
        <v>86</v>
      </c>
      <c r="AA32" t="s">
        <v>799</v>
      </c>
    </row>
    <row r="33" spans="1:27" x14ac:dyDescent="0.2">
      <c r="A33" t="s">
        <v>782</v>
      </c>
      <c r="B33">
        <v>32</v>
      </c>
      <c r="C33">
        <v>6</v>
      </c>
      <c r="D33" t="s">
        <v>796</v>
      </c>
      <c r="E33" t="s">
        <v>784</v>
      </c>
      <c r="F33" t="s">
        <v>841</v>
      </c>
      <c r="G33">
        <v>61</v>
      </c>
      <c r="H33" t="s">
        <v>323</v>
      </c>
      <c r="Q33" t="s">
        <v>842</v>
      </c>
      <c r="R33">
        <v>40</v>
      </c>
      <c r="S33">
        <v>1</v>
      </c>
      <c r="T33" t="str">
        <f t="shared" si="0"/>
        <v>40mg/ 1ml</v>
      </c>
      <c r="U33" t="s">
        <v>86</v>
      </c>
      <c r="V33" t="s">
        <v>86</v>
      </c>
      <c r="W33" t="s">
        <v>86</v>
      </c>
      <c r="X33" t="s">
        <v>86</v>
      </c>
      <c r="Y33" t="s">
        <v>86</v>
      </c>
      <c r="Z33" t="s">
        <v>86</v>
      </c>
      <c r="AA33" t="s">
        <v>799</v>
      </c>
    </row>
    <row r="34" spans="1:27" x14ac:dyDescent="0.2">
      <c r="A34" t="s">
        <v>782</v>
      </c>
      <c r="B34">
        <v>33</v>
      </c>
      <c r="C34">
        <v>6</v>
      </c>
      <c r="D34" t="s">
        <v>796</v>
      </c>
      <c r="E34" t="s">
        <v>784</v>
      </c>
      <c r="F34" t="s">
        <v>843</v>
      </c>
      <c r="G34">
        <v>61</v>
      </c>
      <c r="H34" t="s">
        <v>323</v>
      </c>
      <c r="Q34" t="s">
        <v>844</v>
      </c>
      <c r="R34">
        <v>80</v>
      </c>
      <c r="S34">
        <v>1</v>
      </c>
      <c r="T34" t="str">
        <f t="shared" si="0"/>
        <v>80mg/ 1ml</v>
      </c>
      <c r="U34" t="s">
        <v>86</v>
      </c>
      <c r="V34" t="s">
        <v>86</v>
      </c>
      <c r="W34" t="s">
        <v>86</v>
      </c>
      <c r="X34" t="s">
        <v>86</v>
      </c>
      <c r="Y34" t="s">
        <v>86</v>
      </c>
      <c r="Z34" t="s">
        <v>86</v>
      </c>
      <c r="AA34" t="s">
        <v>799</v>
      </c>
    </row>
    <row r="35" spans="1:27" x14ac:dyDescent="0.2">
      <c r="A35" t="s">
        <v>782</v>
      </c>
      <c r="B35">
        <v>34</v>
      </c>
      <c r="C35">
        <v>6</v>
      </c>
      <c r="D35" t="s">
        <v>796</v>
      </c>
      <c r="E35" t="s">
        <v>784</v>
      </c>
      <c r="F35" t="s">
        <v>845</v>
      </c>
      <c r="G35">
        <v>61</v>
      </c>
      <c r="H35" t="s">
        <v>323</v>
      </c>
      <c r="Q35" t="s">
        <v>846</v>
      </c>
      <c r="R35">
        <v>80</v>
      </c>
      <c r="S35">
        <v>1</v>
      </c>
      <c r="T35" t="str">
        <f t="shared" si="0"/>
        <v>80mg/ 1ml</v>
      </c>
      <c r="U35" t="s">
        <v>86</v>
      </c>
      <c r="V35" t="s">
        <v>86</v>
      </c>
      <c r="W35" t="s">
        <v>86</v>
      </c>
      <c r="X35" t="s">
        <v>86</v>
      </c>
      <c r="Y35" t="s">
        <v>86</v>
      </c>
      <c r="Z35" t="s">
        <v>86</v>
      </c>
      <c r="AA35" t="s">
        <v>799</v>
      </c>
    </row>
    <row r="36" spans="1:27" x14ac:dyDescent="0.2">
      <c r="A36" t="s">
        <v>782</v>
      </c>
      <c r="B36">
        <v>35</v>
      </c>
      <c r="C36">
        <v>6</v>
      </c>
      <c r="D36" t="s">
        <v>796</v>
      </c>
      <c r="E36" t="s">
        <v>784</v>
      </c>
      <c r="F36" t="s">
        <v>847</v>
      </c>
      <c r="G36">
        <v>61</v>
      </c>
      <c r="H36" t="s">
        <v>323</v>
      </c>
      <c r="Q36" t="s">
        <v>848</v>
      </c>
      <c r="R36">
        <v>80</v>
      </c>
      <c r="S36">
        <v>1</v>
      </c>
      <c r="T36" t="str">
        <f t="shared" si="0"/>
        <v>80mg/ 1ml</v>
      </c>
      <c r="U36" t="s">
        <v>86</v>
      </c>
      <c r="V36" t="s">
        <v>86</v>
      </c>
      <c r="W36" t="s">
        <v>86</v>
      </c>
      <c r="X36" t="s">
        <v>86</v>
      </c>
      <c r="Y36" t="s">
        <v>86</v>
      </c>
      <c r="Z36" t="s">
        <v>86</v>
      </c>
      <c r="AA36" t="s">
        <v>799</v>
      </c>
    </row>
    <row r="37" spans="1:27" x14ac:dyDescent="0.2">
      <c r="A37" t="s">
        <v>782</v>
      </c>
      <c r="B37">
        <v>36</v>
      </c>
      <c r="C37">
        <v>7</v>
      </c>
      <c r="D37" t="s">
        <v>849</v>
      </c>
      <c r="E37" t="s">
        <v>784</v>
      </c>
      <c r="F37" t="s">
        <v>850</v>
      </c>
      <c r="G37">
        <v>65</v>
      </c>
      <c r="H37" t="s">
        <v>418</v>
      </c>
      <c r="Q37" t="s">
        <v>851</v>
      </c>
      <c r="R37">
        <v>120</v>
      </c>
      <c r="S37">
        <v>1</v>
      </c>
      <c r="T37" t="str">
        <f t="shared" si="0"/>
        <v>120mg/ 1ml</v>
      </c>
      <c r="U37" t="s">
        <v>86</v>
      </c>
      <c r="V37" t="s">
        <v>86</v>
      </c>
      <c r="W37" t="s">
        <v>86</v>
      </c>
      <c r="X37" t="s">
        <v>86</v>
      </c>
      <c r="Y37" t="s">
        <v>86</v>
      </c>
      <c r="Z37" t="s">
        <v>86</v>
      </c>
      <c r="AA37" t="s">
        <v>852</v>
      </c>
    </row>
    <row r="38" spans="1:27" x14ac:dyDescent="0.2">
      <c r="A38" t="s">
        <v>782</v>
      </c>
      <c r="B38">
        <v>37</v>
      </c>
      <c r="C38">
        <v>7</v>
      </c>
      <c r="D38" t="s">
        <v>849</v>
      </c>
      <c r="E38" t="s">
        <v>784</v>
      </c>
      <c r="F38" t="s">
        <v>853</v>
      </c>
      <c r="G38">
        <v>65</v>
      </c>
      <c r="H38" t="s">
        <v>418</v>
      </c>
      <c r="Q38" t="s">
        <v>851</v>
      </c>
      <c r="R38">
        <v>30</v>
      </c>
      <c r="S38">
        <v>1</v>
      </c>
      <c r="T38" t="str">
        <f t="shared" si="0"/>
        <v>30mg/ 1ml</v>
      </c>
      <c r="U38" t="s">
        <v>86</v>
      </c>
      <c r="V38" t="s">
        <v>86</v>
      </c>
      <c r="W38" t="s">
        <v>86</v>
      </c>
      <c r="X38" t="s">
        <v>86</v>
      </c>
      <c r="Y38" t="s">
        <v>86</v>
      </c>
      <c r="Z38" t="s">
        <v>86</v>
      </c>
      <c r="AA38" t="s">
        <v>852</v>
      </c>
    </row>
    <row r="39" spans="1:27" x14ac:dyDescent="0.2">
      <c r="A39" t="s">
        <v>782</v>
      </c>
      <c r="B39">
        <v>38</v>
      </c>
      <c r="C39">
        <v>7</v>
      </c>
      <c r="D39" t="s">
        <v>849</v>
      </c>
      <c r="E39" t="s">
        <v>784</v>
      </c>
      <c r="F39" t="s">
        <v>854</v>
      </c>
      <c r="G39">
        <v>65</v>
      </c>
      <c r="H39" t="s">
        <v>418</v>
      </c>
      <c r="Q39" t="s">
        <v>851</v>
      </c>
      <c r="R39">
        <v>60</v>
      </c>
      <c r="S39">
        <v>1</v>
      </c>
      <c r="T39" t="str">
        <f t="shared" si="0"/>
        <v>60mg/ 1ml</v>
      </c>
      <c r="U39" t="s">
        <v>86</v>
      </c>
      <c r="V39" t="s">
        <v>86</v>
      </c>
      <c r="W39" t="s">
        <v>86</v>
      </c>
      <c r="X39" t="s">
        <v>86</v>
      </c>
      <c r="Y39" t="s">
        <v>86</v>
      </c>
      <c r="Z39" t="s">
        <v>86</v>
      </c>
      <c r="AA39" t="s">
        <v>852</v>
      </c>
    </row>
    <row r="40" spans="1:27" x14ac:dyDescent="0.2">
      <c r="A40" t="s">
        <v>782</v>
      </c>
      <c r="B40">
        <v>39</v>
      </c>
      <c r="C40">
        <v>7</v>
      </c>
      <c r="D40" t="s">
        <v>849</v>
      </c>
      <c r="E40" t="s">
        <v>784</v>
      </c>
      <c r="F40" t="s">
        <v>855</v>
      </c>
      <c r="G40">
        <v>65</v>
      </c>
      <c r="H40" t="s">
        <v>418</v>
      </c>
      <c r="Q40" t="s">
        <v>838</v>
      </c>
      <c r="R40">
        <v>60</v>
      </c>
      <c r="S40">
        <v>1</v>
      </c>
      <c r="T40" t="str">
        <f t="shared" si="0"/>
        <v>60mg/ 1ml</v>
      </c>
      <c r="U40" t="s">
        <v>86</v>
      </c>
      <c r="V40" t="s">
        <v>86</v>
      </c>
      <c r="W40" t="s">
        <v>86</v>
      </c>
      <c r="X40" t="s">
        <v>86</v>
      </c>
      <c r="Y40" t="s">
        <v>86</v>
      </c>
      <c r="Z40" t="s">
        <v>86</v>
      </c>
      <c r="AA40" t="s">
        <v>852</v>
      </c>
    </row>
    <row r="41" spans="1:27" x14ac:dyDescent="0.2">
      <c r="A41" t="s">
        <v>782</v>
      </c>
      <c r="B41">
        <v>40</v>
      </c>
      <c r="C41">
        <v>5</v>
      </c>
      <c r="D41" t="s">
        <v>783</v>
      </c>
      <c r="E41" t="s">
        <v>784</v>
      </c>
      <c r="F41" t="s">
        <v>856</v>
      </c>
      <c r="G41">
        <v>65</v>
      </c>
      <c r="H41" t="s">
        <v>418</v>
      </c>
      <c r="I41">
        <v>60</v>
      </c>
      <c r="J41" t="s">
        <v>404</v>
      </c>
      <c r="Q41" t="s">
        <v>857</v>
      </c>
      <c r="R41">
        <v>50</v>
      </c>
      <c r="S41">
        <v>15</v>
      </c>
      <c r="T41" t="str">
        <f t="shared" si="0"/>
        <v>50mg/ 15ml</v>
      </c>
      <c r="U41">
        <v>150</v>
      </c>
      <c r="V41">
        <v>15</v>
      </c>
      <c r="W41">
        <v>10</v>
      </c>
      <c r="X41" t="s">
        <v>86</v>
      </c>
      <c r="Y41" t="s">
        <v>86</v>
      </c>
      <c r="Z41" t="s">
        <v>86</v>
      </c>
      <c r="AA41" t="s">
        <v>858</v>
      </c>
    </row>
    <row r="42" spans="1:27" x14ac:dyDescent="0.2">
      <c r="A42" t="s">
        <v>782</v>
      </c>
      <c r="B42">
        <v>41</v>
      </c>
      <c r="C42">
        <v>4</v>
      </c>
      <c r="D42" t="s">
        <v>859</v>
      </c>
      <c r="E42" t="s">
        <v>784</v>
      </c>
      <c r="F42" t="s">
        <v>860</v>
      </c>
      <c r="G42">
        <v>68</v>
      </c>
      <c r="H42" t="s">
        <v>861</v>
      </c>
      <c r="Q42" t="s">
        <v>862</v>
      </c>
      <c r="R42">
        <v>50</v>
      </c>
      <c r="S42">
        <v>5</v>
      </c>
      <c r="T42" t="str">
        <f t="shared" si="0"/>
        <v>50mg/ 5ml</v>
      </c>
      <c r="U42" t="s">
        <v>86</v>
      </c>
      <c r="V42" t="s">
        <v>86</v>
      </c>
      <c r="W42" t="s">
        <v>86</v>
      </c>
      <c r="X42" t="s">
        <v>86</v>
      </c>
      <c r="Y42" t="s">
        <v>86</v>
      </c>
      <c r="Z42" t="s">
        <v>86</v>
      </c>
      <c r="AA42" t="s">
        <v>863</v>
      </c>
    </row>
    <row r="43" spans="1:27" x14ac:dyDescent="0.2">
      <c r="A43" t="s">
        <v>782</v>
      </c>
      <c r="B43">
        <v>42</v>
      </c>
      <c r="C43">
        <v>4</v>
      </c>
      <c r="D43" t="s">
        <v>859</v>
      </c>
      <c r="E43" t="s">
        <v>784</v>
      </c>
      <c r="F43" t="s">
        <v>864</v>
      </c>
      <c r="G43">
        <v>68</v>
      </c>
      <c r="H43" t="s">
        <v>861</v>
      </c>
      <c r="Q43" t="s">
        <v>865</v>
      </c>
      <c r="R43">
        <v>80</v>
      </c>
      <c r="S43">
        <v>5</v>
      </c>
      <c r="T43" t="str">
        <f t="shared" si="0"/>
        <v>80mg/ 5ml</v>
      </c>
      <c r="U43" t="s">
        <v>86</v>
      </c>
      <c r="V43" t="s">
        <v>86</v>
      </c>
      <c r="W43" t="s">
        <v>86</v>
      </c>
      <c r="X43" t="s">
        <v>86</v>
      </c>
      <c r="Y43" t="s">
        <v>86</v>
      </c>
      <c r="Z43" t="s">
        <v>86</v>
      </c>
      <c r="AA43" t="s">
        <v>863</v>
      </c>
    </row>
    <row r="44" spans="1:27" x14ac:dyDescent="0.2">
      <c r="A44" t="s">
        <v>782</v>
      </c>
      <c r="B44">
        <v>43</v>
      </c>
      <c r="C44">
        <v>4</v>
      </c>
      <c r="D44" t="s">
        <v>859</v>
      </c>
      <c r="E44" t="s">
        <v>784</v>
      </c>
      <c r="F44" t="s">
        <v>866</v>
      </c>
      <c r="G44">
        <v>68</v>
      </c>
      <c r="H44" t="s">
        <v>861</v>
      </c>
      <c r="Q44" t="s">
        <v>867</v>
      </c>
      <c r="R44">
        <v>50</v>
      </c>
      <c r="S44">
        <v>5</v>
      </c>
      <c r="T44" t="str">
        <f t="shared" si="0"/>
        <v>50mg/ 5ml</v>
      </c>
      <c r="U44" t="s">
        <v>86</v>
      </c>
      <c r="V44" t="s">
        <v>86</v>
      </c>
      <c r="W44" t="s">
        <v>86</v>
      </c>
      <c r="X44" t="s">
        <v>86</v>
      </c>
      <c r="Y44" t="s">
        <v>86</v>
      </c>
      <c r="Z44" t="s">
        <v>86</v>
      </c>
      <c r="AA44" t="s">
        <v>863</v>
      </c>
    </row>
    <row r="45" spans="1:27" x14ac:dyDescent="0.2">
      <c r="A45" t="s">
        <v>782</v>
      </c>
      <c r="B45">
        <v>44</v>
      </c>
      <c r="C45">
        <v>4</v>
      </c>
      <c r="D45" t="s">
        <v>859</v>
      </c>
      <c r="E45" t="s">
        <v>784</v>
      </c>
      <c r="F45" t="s">
        <v>868</v>
      </c>
      <c r="G45">
        <v>68</v>
      </c>
      <c r="H45" t="s">
        <v>861</v>
      </c>
      <c r="Q45" t="s">
        <v>869</v>
      </c>
      <c r="R45">
        <v>50</v>
      </c>
      <c r="S45">
        <v>5</v>
      </c>
      <c r="T45" t="str">
        <f t="shared" si="0"/>
        <v>50mg/ 5ml</v>
      </c>
      <c r="U45" t="s">
        <v>86</v>
      </c>
      <c r="V45" t="s">
        <v>86</v>
      </c>
      <c r="W45" t="s">
        <v>86</v>
      </c>
      <c r="X45" t="s">
        <v>86</v>
      </c>
      <c r="Y45" t="s">
        <v>86</v>
      </c>
      <c r="Z45" t="s">
        <v>86</v>
      </c>
      <c r="AA45" t="s">
        <v>863</v>
      </c>
    </row>
    <row r="46" spans="1:27" x14ac:dyDescent="0.2">
      <c r="A46" t="s">
        <v>782</v>
      </c>
      <c r="B46">
        <v>45</v>
      </c>
      <c r="C46">
        <v>4</v>
      </c>
      <c r="D46" t="s">
        <v>859</v>
      </c>
      <c r="E46" t="s">
        <v>784</v>
      </c>
      <c r="F46" t="s">
        <v>870</v>
      </c>
      <c r="G46">
        <v>68</v>
      </c>
      <c r="H46" t="s">
        <v>861</v>
      </c>
      <c r="Q46" t="s">
        <v>871</v>
      </c>
      <c r="R46">
        <v>50</v>
      </c>
      <c r="S46">
        <v>5</v>
      </c>
      <c r="T46" t="str">
        <f t="shared" si="0"/>
        <v>50mg/ 5ml</v>
      </c>
      <c r="U46" t="s">
        <v>86</v>
      </c>
      <c r="V46" t="s">
        <v>86</v>
      </c>
      <c r="W46" t="s">
        <v>86</v>
      </c>
      <c r="X46" t="s">
        <v>86</v>
      </c>
      <c r="Y46" t="s">
        <v>86</v>
      </c>
      <c r="Z46" t="s">
        <v>86</v>
      </c>
      <c r="AA46" t="s">
        <v>863</v>
      </c>
    </row>
    <row r="47" spans="1:27" x14ac:dyDescent="0.2">
      <c r="A47" t="s">
        <v>782</v>
      </c>
      <c r="B47">
        <v>46</v>
      </c>
      <c r="C47">
        <v>4</v>
      </c>
      <c r="D47" t="s">
        <v>859</v>
      </c>
      <c r="E47" t="s">
        <v>784</v>
      </c>
      <c r="F47" t="s">
        <v>872</v>
      </c>
      <c r="G47">
        <v>68</v>
      </c>
      <c r="H47" t="s">
        <v>861</v>
      </c>
      <c r="Q47" t="s">
        <v>873</v>
      </c>
      <c r="R47">
        <v>50</v>
      </c>
      <c r="S47">
        <v>5</v>
      </c>
      <c r="T47" t="str">
        <f t="shared" si="0"/>
        <v>50mg/ 5ml</v>
      </c>
      <c r="U47" t="s">
        <v>86</v>
      </c>
      <c r="V47" t="s">
        <v>86</v>
      </c>
      <c r="W47" t="s">
        <v>86</v>
      </c>
      <c r="X47" t="s">
        <v>86</v>
      </c>
      <c r="Y47" t="s">
        <v>86</v>
      </c>
      <c r="Z47" t="s">
        <v>86</v>
      </c>
      <c r="AA47" t="s">
        <v>863</v>
      </c>
    </row>
    <row r="48" spans="1:27" x14ac:dyDescent="0.2">
      <c r="A48" t="s">
        <v>782</v>
      </c>
      <c r="B48">
        <v>47</v>
      </c>
      <c r="C48">
        <v>4</v>
      </c>
      <c r="D48" t="s">
        <v>859</v>
      </c>
      <c r="E48" t="s">
        <v>784</v>
      </c>
      <c r="F48" t="s">
        <v>874</v>
      </c>
      <c r="G48">
        <v>68</v>
      </c>
      <c r="H48" t="s">
        <v>861</v>
      </c>
      <c r="Q48" t="s">
        <v>875</v>
      </c>
      <c r="R48">
        <v>80</v>
      </c>
      <c r="S48">
        <v>5</v>
      </c>
      <c r="T48" t="str">
        <f t="shared" si="0"/>
        <v>80mg/ 5ml</v>
      </c>
      <c r="U48" t="s">
        <v>86</v>
      </c>
      <c r="V48" t="s">
        <v>86</v>
      </c>
      <c r="W48" t="s">
        <v>86</v>
      </c>
      <c r="X48" t="s">
        <v>86</v>
      </c>
      <c r="Y48" t="s">
        <v>86</v>
      </c>
      <c r="Z48" t="s">
        <v>86</v>
      </c>
      <c r="AA48" t="s">
        <v>863</v>
      </c>
    </row>
    <row r="49" spans="1:27" x14ac:dyDescent="0.2">
      <c r="A49" t="s">
        <v>782</v>
      </c>
      <c r="B49">
        <v>48</v>
      </c>
      <c r="C49">
        <v>6</v>
      </c>
      <c r="D49" t="s">
        <v>796</v>
      </c>
      <c r="E49" t="s">
        <v>784</v>
      </c>
      <c r="F49" t="s">
        <v>876</v>
      </c>
      <c r="G49">
        <v>68</v>
      </c>
      <c r="H49" t="s">
        <v>861</v>
      </c>
      <c r="Q49" t="s">
        <v>877</v>
      </c>
      <c r="R49">
        <v>200</v>
      </c>
      <c r="S49">
        <v>5</v>
      </c>
      <c r="T49" t="str">
        <f t="shared" si="0"/>
        <v>200mg/ 5ml</v>
      </c>
      <c r="U49" t="s">
        <v>86</v>
      </c>
      <c r="V49" t="s">
        <v>86</v>
      </c>
      <c r="W49" t="s">
        <v>86</v>
      </c>
      <c r="X49" t="s">
        <v>86</v>
      </c>
      <c r="Y49" t="s">
        <v>86</v>
      </c>
      <c r="Z49" t="s">
        <v>86</v>
      </c>
      <c r="AA49" t="s">
        <v>863</v>
      </c>
    </row>
    <row r="50" spans="1:27" x14ac:dyDescent="0.2">
      <c r="A50" t="s">
        <v>782</v>
      </c>
      <c r="B50">
        <v>49</v>
      </c>
      <c r="C50">
        <v>6</v>
      </c>
      <c r="D50" t="s">
        <v>796</v>
      </c>
      <c r="E50" t="s">
        <v>784</v>
      </c>
      <c r="F50" t="s">
        <v>878</v>
      </c>
      <c r="G50">
        <v>68</v>
      </c>
      <c r="H50" t="s">
        <v>861</v>
      </c>
      <c r="Q50" t="s">
        <v>879</v>
      </c>
      <c r="R50">
        <v>40</v>
      </c>
      <c r="S50">
        <v>1</v>
      </c>
      <c r="T50" t="str">
        <f t="shared" si="0"/>
        <v>40mg/ 1ml</v>
      </c>
      <c r="U50" t="s">
        <v>86</v>
      </c>
      <c r="V50" t="s">
        <v>86</v>
      </c>
      <c r="W50" t="s">
        <v>86</v>
      </c>
      <c r="X50" t="s">
        <v>86</v>
      </c>
      <c r="Y50" t="s">
        <v>86</v>
      </c>
      <c r="Z50" t="s">
        <v>86</v>
      </c>
      <c r="AA50" t="s">
        <v>863</v>
      </c>
    </row>
    <row r="51" spans="1:27" x14ac:dyDescent="0.2">
      <c r="A51" t="s">
        <v>782</v>
      </c>
      <c r="B51">
        <v>50</v>
      </c>
      <c r="C51">
        <v>4</v>
      </c>
      <c r="D51" t="s">
        <v>859</v>
      </c>
      <c r="E51" t="s">
        <v>784</v>
      </c>
      <c r="F51" t="s">
        <v>880</v>
      </c>
      <c r="G51">
        <v>68</v>
      </c>
      <c r="H51" t="s">
        <v>861</v>
      </c>
      <c r="Q51" t="s">
        <v>869</v>
      </c>
      <c r="R51">
        <v>50</v>
      </c>
      <c r="S51">
        <v>5</v>
      </c>
      <c r="T51" t="str">
        <f t="shared" si="0"/>
        <v>50mg/ 5ml</v>
      </c>
      <c r="U51" t="s">
        <v>86</v>
      </c>
      <c r="V51" t="s">
        <v>86</v>
      </c>
      <c r="W51" t="s">
        <v>86</v>
      </c>
      <c r="X51" t="s">
        <v>86</v>
      </c>
      <c r="Y51" t="s">
        <v>86</v>
      </c>
      <c r="Z51" t="s">
        <v>86</v>
      </c>
      <c r="AA51" t="s">
        <v>863</v>
      </c>
    </row>
    <row r="52" spans="1:27" x14ac:dyDescent="0.2">
      <c r="A52" t="s">
        <v>782</v>
      </c>
      <c r="B52">
        <v>51</v>
      </c>
      <c r="C52">
        <v>4</v>
      </c>
      <c r="D52" t="s">
        <v>859</v>
      </c>
      <c r="E52" t="s">
        <v>784</v>
      </c>
      <c r="F52" t="s">
        <v>881</v>
      </c>
      <c r="G52">
        <v>68</v>
      </c>
      <c r="H52" t="s">
        <v>861</v>
      </c>
      <c r="Q52" t="s">
        <v>882</v>
      </c>
      <c r="R52">
        <v>80</v>
      </c>
      <c r="S52">
        <v>5</v>
      </c>
      <c r="T52" t="str">
        <f t="shared" si="0"/>
        <v>80mg/ 5ml</v>
      </c>
      <c r="U52" t="s">
        <v>86</v>
      </c>
      <c r="V52" t="s">
        <v>86</v>
      </c>
      <c r="W52" t="s">
        <v>86</v>
      </c>
      <c r="X52" t="s">
        <v>86</v>
      </c>
      <c r="Y52" t="s">
        <v>86</v>
      </c>
      <c r="Z52" t="s">
        <v>86</v>
      </c>
      <c r="AA52" t="s">
        <v>863</v>
      </c>
    </row>
    <row r="53" spans="1:27" x14ac:dyDescent="0.2">
      <c r="A53" t="s">
        <v>782</v>
      </c>
      <c r="B53">
        <v>52</v>
      </c>
      <c r="C53">
        <v>4</v>
      </c>
      <c r="D53" t="s">
        <v>859</v>
      </c>
      <c r="E53" t="s">
        <v>784</v>
      </c>
      <c r="F53" t="s">
        <v>883</v>
      </c>
      <c r="G53">
        <v>68</v>
      </c>
      <c r="H53" t="s">
        <v>861</v>
      </c>
      <c r="Q53" t="s">
        <v>884</v>
      </c>
      <c r="R53">
        <v>50</v>
      </c>
      <c r="S53">
        <v>5</v>
      </c>
      <c r="T53" t="str">
        <f t="shared" si="0"/>
        <v>50mg/ 5ml</v>
      </c>
      <c r="U53" t="s">
        <v>86</v>
      </c>
      <c r="V53" t="s">
        <v>86</v>
      </c>
      <c r="W53" t="s">
        <v>86</v>
      </c>
      <c r="X53" t="s">
        <v>86</v>
      </c>
      <c r="Y53" t="s">
        <v>86</v>
      </c>
      <c r="Z53" t="s">
        <v>86</v>
      </c>
      <c r="AA53" t="s">
        <v>863</v>
      </c>
    </row>
    <row r="54" spans="1:27" x14ac:dyDescent="0.2">
      <c r="A54" t="s">
        <v>782</v>
      </c>
      <c r="B54">
        <v>53</v>
      </c>
      <c r="C54">
        <v>4</v>
      </c>
      <c r="D54" t="s">
        <v>859</v>
      </c>
      <c r="E54" t="s">
        <v>784</v>
      </c>
      <c r="F54" t="s">
        <v>885</v>
      </c>
      <c r="G54">
        <v>68</v>
      </c>
      <c r="H54" t="s">
        <v>861</v>
      </c>
      <c r="Q54" t="s">
        <v>886</v>
      </c>
      <c r="R54">
        <v>50</v>
      </c>
      <c r="S54">
        <v>5</v>
      </c>
      <c r="T54" t="str">
        <f t="shared" si="0"/>
        <v>50mg/ 5ml</v>
      </c>
      <c r="U54" t="s">
        <v>86</v>
      </c>
      <c r="V54" t="s">
        <v>86</v>
      </c>
      <c r="W54" t="s">
        <v>86</v>
      </c>
      <c r="X54" t="s">
        <v>86</v>
      </c>
      <c r="Y54" t="s">
        <v>86</v>
      </c>
      <c r="Z54" t="s">
        <v>86</v>
      </c>
      <c r="AA54" t="s">
        <v>863</v>
      </c>
    </row>
    <row r="55" spans="1:27" x14ac:dyDescent="0.2">
      <c r="A55" t="s">
        <v>782</v>
      </c>
      <c r="B55">
        <v>54</v>
      </c>
      <c r="C55">
        <v>6</v>
      </c>
      <c r="D55" t="s">
        <v>796</v>
      </c>
      <c r="E55" t="s">
        <v>784</v>
      </c>
      <c r="F55" t="s">
        <v>887</v>
      </c>
      <c r="G55">
        <v>68</v>
      </c>
      <c r="H55" t="s">
        <v>861</v>
      </c>
      <c r="Q55" t="s">
        <v>888</v>
      </c>
      <c r="R55">
        <v>322</v>
      </c>
      <c r="S55">
        <v>5</v>
      </c>
      <c r="T55" t="str">
        <f t="shared" si="0"/>
        <v>322mg/ 5ml</v>
      </c>
      <c r="U55" t="s">
        <v>86</v>
      </c>
      <c r="V55" t="s">
        <v>86</v>
      </c>
      <c r="W55" t="s">
        <v>86</v>
      </c>
      <c r="X55" t="s">
        <v>86</v>
      </c>
      <c r="Y55" t="s">
        <v>86</v>
      </c>
      <c r="Z55" t="s">
        <v>86</v>
      </c>
      <c r="AA55" t="s">
        <v>863</v>
      </c>
    </row>
    <row r="56" spans="1:27" x14ac:dyDescent="0.2">
      <c r="A56" t="s">
        <v>782</v>
      </c>
      <c r="B56">
        <v>55</v>
      </c>
      <c r="C56">
        <v>4</v>
      </c>
      <c r="D56" t="s">
        <v>859</v>
      </c>
      <c r="E56" t="s">
        <v>784</v>
      </c>
      <c r="F56" t="s">
        <v>889</v>
      </c>
      <c r="G56">
        <v>68</v>
      </c>
      <c r="H56" t="s">
        <v>861</v>
      </c>
      <c r="Q56" t="s">
        <v>890</v>
      </c>
      <c r="R56">
        <v>80</v>
      </c>
      <c r="S56">
        <v>5</v>
      </c>
      <c r="T56" t="str">
        <f t="shared" si="0"/>
        <v>80mg/ 5ml</v>
      </c>
      <c r="U56" t="s">
        <v>86</v>
      </c>
      <c r="V56" t="s">
        <v>86</v>
      </c>
      <c r="W56" t="s">
        <v>86</v>
      </c>
      <c r="X56" t="s">
        <v>86</v>
      </c>
      <c r="Y56" t="s">
        <v>86</v>
      </c>
      <c r="Z56" t="s">
        <v>86</v>
      </c>
      <c r="AA56" t="s">
        <v>863</v>
      </c>
    </row>
    <row r="57" spans="1:27" x14ac:dyDescent="0.2">
      <c r="A57" t="s">
        <v>782</v>
      </c>
      <c r="B57">
        <v>56</v>
      </c>
      <c r="C57">
        <v>4</v>
      </c>
      <c r="D57" t="s">
        <v>859</v>
      </c>
      <c r="E57" t="s">
        <v>784</v>
      </c>
      <c r="F57" t="s">
        <v>891</v>
      </c>
      <c r="G57">
        <v>68</v>
      </c>
      <c r="H57" t="s">
        <v>861</v>
      </c>
      <c r="Q57" t="s">
        <v>892</v>
      </c>
      <c r="R57">
        <v>68</v>
      </c>
      <c r="S57">
        <v>5</v>
      </c>
      <c r="T57" t="str">
        <f t="shared" si="0"/>
        <v>68mg/ 5ml</v>
      </c>
      <c r="U57" t="s">
        <v>86</v>
      </c>
      <c r="V57" t="s">
        <v>86</v>
      </c>
      <c r="W57" t="s">
        <v>86</v>
      </c>
      <c r="X57" t="s">
        <v>86</v>
      </c>
      <c r="Y57" t="s">
        <v>86</v>
      </c>
      <c r="Z57" t="s">
        <v>86</v>
      </c>
      <c r="AA57" t="s">
        <v>863</v>
      </c>
    </row>
    <row r="58" spans="1:27" x14ac:dyDescent="0.2">
      <c r="A58" t="s">
        <v>782</v>
      </c>
      <c r="B58">
        <v>57</v>
      </c>
      <c r="C58">
        <v>6</v>
      </c>
      <c r="D58" t="s">
        <v>796</v>
      </c>
      <c r="E58" t="s">
        <v>784</v>
      </c>
      <c r="F58" t="s">
        <v>893</v>
      </c>
      <c r="G58">
        <v>83</v>
      </c>
      <c r="H58" t="s">
        <v>894</v>
      </c>
      <c r="Q58" t="s">
        <v>895</v>
      </c>
      <c r="R58">
        <v>600</v>
      </c>
      <c r="S58">
        <v>2</v>
      </c>
      <c r="T58" t="str">
        <f t="shared" si="0"/>
        <v>600mg/ 2ml</v>
      </c>
      <c r="U58" t="s">
        <v>86</v>
      </c>
      <c r="V58" t="s">
        <v>86</v>
      </c>
      <c r="W58" t="s">
        <v>86</v>
      </c>
      <c r="X58" t="s">
        <v>86</v>
      </c>
      <c r="Y58" t="s">
        <v>86</v>
      </c>
      <c r="Z58" t="s">
        <v>86</v>
      </c>
      <c r="AA58" t="s">
        <v>896</v>
      </c>
    </row>
    <row r="59" spans="1:27" x14ac:dyDescent="0.2">
      <c r="A59" t="s">
        <v>782</v>
      </c>
      <c r="B59">
        <v>58</v>
      </c>
      <c r="C59">
        <v>6</v>
      </c>
      <c r="D59" t="s">
        <v>796</v>
      </c>
      <c r="E59" t="s">
        <v>784</v>
      </c>
      <c r="F59" t="s">
        <v>897</v>
      </c>
      <c r="G59">
        <v>83</v>
      </c>
      <c r="H59" t="s">
        <v>894</v>
      </c>
      <c r="Q59" t="s">
        <v>898</v>
      </c>
      <c r="R59">
        <v>600</v>
      </c>
      <c r="S59">
        <v>2</v>
      </c>
      <c r="T59" t="str">
        <f t="shared" si="0"/>
        <v>600mg/ 2ml</v>
      </c>
      <c r="U59" t="s">
        <v>86</v>
      </c>
      <c r="V59" t="s">
        <v>86</v>
      </c>
      <c r="W59" t="s">
        <v>86</v>
      </c>
      <c r="X59" t="s">
        <v>86</v>
      </c>
      <c r="Y59" t="s">
        <v>86</v>
      </c>
      <c r="Z59" t="s">
        <v>86</v>
      </c>
      <c r="AA59" t="s">
        <v>896</v>
      </c>
    </row>
    <row r="60" spans="1:27" x14ac:dyDescent="0.2">
      <c r="A60" t="s">
        <v>782</v>
      </c>
      <c r="B60">
        <v>59</v>
      </c>
      <c r="C60">
        <v>6</v>
      </c>
      <c r="D60" t="s">
        <v>796</v>
      </c>
      <c r="E60" t="s">
        <v>784</v>
      </c>
      <c r="F60" t="s">
        <v>899</v>
      </c>
      <c r="G60">
        <v>83</v>
      </c>
      <c r="H60" t="s">
        <v>894</v>
      </c>
      <c r="Q60" t="s">
        <v>898</v>
      </c>
      <c r="R60">
        <v>600</v>
      </c>
      <c r="S60">
        <v>2</v>
      </c>
      <c r="T60" t="str">
        <f t="shared" si="0"/>
        <v>600mg/ 2ml</v>
      </c>
      <c r="U60" t="s">
        <v>86</v>
      </c>
      <c r="V60" t="s">
        <v>86</v>
      </c>
      <c r="W60" t="s">
        <v>86</v>
      </c>
      <c r="X60" t="s">
        <v>86</v>
      </c>
      <c r="Y60" t="s">
        <v>86</v>
      </c>
      <c r="Z60" t="s">
        <v>86</v>
      </c>
      <c r="AA60" t="s">
        <v>896</v>
      </c>
    </row>
    <row r="61" spans="1:27" x14ac:dyDescent="0.2">
      <c r="A61" t="s">
        <v>782</v>
      </c>
      <c r="B61">
        <v>60</v>
      </c>
      <c r="C61">
        <v>6</v>
      </c>
      <c r="D61" t="s">
        <v>796</v>
      </c>
      <c r="E61" t="s">
        <v>784</v>
      </c>
      <c r="F61" t="s">
        <v>900</v>
      </c>
      <c r="G61">
        <v>83</v>
      </c>
      <c r="H61" t="s">
        <v>894</v>
      </c>
      <c r="Q61" t="s">
        <v>901</v>
      </c>
      <c r="R61">
        <v>246.8</v>
      </c>
      <c r="S61">
        <v>4</v>
      </c>
      <c r="T61" t="str">
        <f t="shared" si="0"/>
        <v>246.8mg/ 4ml</v>
      </c>
      <c r="U61" t="s">
        <v>86</v>
      </c>
      <c r="V61" t="s">
        <v>86</v>
      </c>
      <c r="W61" t="s">
        <v>86</v>
      </c>
      <c r="X61" t="s">
        <v>86</v>
      </c>
      <c r="Y61" t="s">
        <v>86</v>
      </c>
      <c r="Z61" t="s">
        <v>86</v>
      </c>
      <c r="AA61" t="s">
        <v>896</v>
      </c>
    </row>
    <row r="62" spans="1:27" x14ac:dyDescent="0.2">
      <c r="A62" t="s">
        <v>782</v>
      </c>
      <c r="B62">
        <v>61</v>
      </c>
      <c r="C62">
        <v>6</v>
      </c>
      <c r="D62" t="s">
        <v>796</v>
      </c>
      <c r="E62" t="s">
        <v>784</v>
      </c>
      <c r="F62" t="s">
        <v>902</v>
      </c>
      <c r="G62">
        <v>83</v>
      </c>
      <c r="H62" t="s">
        <v>894</v>
      </c>
      <c r="Q62" t="s">
        <v>903</v>
      </c>
      <c r="R62">
        <v>600</v>
      </c>
      <c r="S62">
        <v>2</v>
      </c>
      <c r="T62" t="str">
        <f t="shared" si="0"/>
        <v>600mg/ 2ml</v>
      </c>
      <c r="U62" t="s">
        <v>86</v>
      </c>
      <c r="V62" t="s">
        <v>86</v>
      </c>
      <c r="W62" t="s">
        <v>86</v>
      </c>
      <c r="X62" t="s">
        <v>86</v>
      </c>
      <c r="Y62" t="s">
        <v>86</v>
      </c>
      <c r="Z62" t="s">
        <v>86</v>
      </c>
      <c r="AA62" t="s">
        <v>896</v>
      </c>
    </row>
    <row r="63" spans="1:27" x14ac:dyDescent="0.2">
      <c r="A63" t="s">
        <v>782</v>
      </c>
      <c r="B63">
        <v>62</v>
      </c>
      <c r="C63">
        <v>6</v>
      </c>
      <c r="D63" t="s">
        <v>796</v>
      </c>
      <c r="E63" t="s">
        <v>784</v>
      </c>
      <c r="F63" t="s">
        <v>904</v>
      </c>
      <c r="G63">
        <v>83</v>
      </c>
      <c r="H63" t="s">
        <v>894</v>
      </c>
      <c r="Q63" t="s">
        <v>898</v>
      </c>
      <c r="R63">
        <v>600</v>
      </c>
      <c r="S63">
        <v>2</v>
      </c>
      <c r="T63" t="str">
        <f t="shared" si="0"/>
        <v>600mg/ 2ml</v>
      </c>
      <c r="U63" t="s">
        <v>86</v>
      </c>
      <c r="V63" t="s">
        <v>86</v>
      </c>
      <c r="W63" t="s">
        <v>86</v>
      </c>
      <c r="X63" t="s">
        <v>86</v>
      </c>
      <c r="Y63" t="s">
        <v>86</v>
      </c>
      <c r="Z63" t="s">
        <v>86</v>
      </c>
      <c r="AA63" t="s">
        <v>896</v>
      </c>
    </row>
    <row r="64" spans="1:27" x14ac:dyDescent="0.2">
      <c r="A64" t="s">
        <v>782</v>
      </c>
      <c r="B64">
        <v>63</v>
      </c>
      <c r="C64">
        <v>6</v>
      </c>
      <c r="D64" t="s">
        <v>796</v>
      </c>
      <c r="E64" t="s">
        <v>784</v>
      </c>
      <c r="F64" t="s">
        <v>905</v>
      </c>
      <c r="G64">
        <v>83</v>
      </c>
      <c r="H64" t="s">
        <v>894</v>
      </c>
      <c r="Q64" t="s">
        <v>906</v>
      </c>
      <c r="R64">
        <v>600</v>
      </c>
      <c r="S64">
        <v>2</v>
      </c>
      <c r="T64" t="str">
        <f t="shared" si="0"/>
        <v>600mg/ 2ml</v>
      </c>
      <c r="U64" t="s">
        <v>86</v>
      </c>
      <c r="V64" t="s">
        <v>86</v>
      </c>
      <c r="W64" t="s">
        <v>86</v>
      </c>
      <c r="X64" t="s">
        <v>86</v>
      </c>
      <c r="Y64" t="s">
        <v>86</v>
      </c>
      <c r="Z64" t="s">
        <v>86</v>
      </c>
      <c r="AA64" t="s">
        <v>896</v>
      </c>
    </row>
    <row r="65" spans="1:27" x14ac:dyDescent="0.2">
      <c r="A65" t="s">
        <v>782</v>
      </c>
      <c r="B65">
        <v>64</v>
      </c>
      <c r="C65">
        <v>6</v>
      </c>
      <c r="D65" t="s">
        <v>796</v>
      </c>
      <c r="E65" t="s">
        <v>784</v>
      </c>
      <c r="F65" t="s">
        <v>907</v>
      </c>
      <c r="G65">
        <v>83</v>
      </c>
      <c r="H65" t="s">
        <v>894</v>
      </c>
      <c r="Q65" t="s">
        <v>846</v>
      </c>
      <c r="R65">
        <v>600</v>
      </c>
      <c r="S65">
        <v>2</v>
      </c>
      <c r="T65" t="str">
        <f t="shared" si="0"/>
        <v>600mg/ 2ml</v>
      </c>
      <c r="U65" t="s">
        <v>86</v>
      </c>
      <c r="V65" t="s">
        <v>86</v>
      </c>
      <c r="W65" t="s">
        <v>86</v>
      </c>
      <c r="X65" t="s">
        <v>86</v>
      </c>
      <c r="Y65" t="s">
        <v>86</v>
      </c>
      <c r="Z65" t="s">
        <v>86</v>
      </c>
      <c r="AA65" t="s">
        <v>896</v>
      </c>
    </row>
    <row r="66" spans="1:27" x14ac:dyDescent="0.2">
      <c r="A66" t="s">
        <v>782</v>
      </c>
      <c r="B66">
        <v>65</v>
      </c>
      <c r="C66">
        <v>6</v>
      </c>
      <c r="D66" t="s">
        <v>796</v>
      </c>
      <c r="E66" t="s">
        <v>784</v>
      </c>
      <c r="F66" t="s">
        <v>908</v>
      </c>
      <c r="G66">
        <v>83</v>
      </c>
      <c r="H66" t="s">
        <v>894</v>
      </c>
      <c r="Q66" t="s">
        <v>903</v>
      </c>
      <c r="R66">
        <v>600</v>
      </c>
      <c r="S66">
        <v>2</v>
      </c>
      <c r="T66" t="str">
        <f t="shared" si="0"/>
        <v>600mg/ 2ml</v>
      </c>
      <c r="U66" t="s">
        <v>86</v>
      </c>
      <c r="V66" t="s">
        <v>86</v>
      </c>
      <c r="W66" t="s">
        <v>86</v>
      </c>
      <c r="X66" t="s">
        <v>86</v>
      </c>
      <c r="Y66" t="s">
        <v>86</v>
      </c>
      <c r="Z66" t="s">
        <v>86</v>
      </c>
      <c r="AA66" t="s">
        <v>896</v>
      </c>
    </row>
    <row r="67" spans="1:27" x14ac:dyDescent="0.2">
      <c r="A67" t="s">
        <v>782</v>
      </c>
      <c r="B67">
        <v>66</v>
      </c>
      <c r="C67">
        <v>6</v>
      </c>
      <c r="D67" t="s">
        <v>796</v>
      </c>
      <c r="E67" t="s">
        <v>784</v>
      </c>
      <c r="F67" t="s">
        <v>909</v>
      </c>
      <c r="G67">
        <v>83</v>
      </c>
      <c r="H67" t="s">
        <v>894</v>
      </c>
      <c r="Q67" t="s">
        <v>910</v>
      </c>
      <c r="R67">
        <v>600</v>
      </c>
      <c r="S67">
        <v>2</v>
      </c>
      <c r="T67" t="str">
        <f t="shared" ref="T67:T130" si="1">IF(S67=".",_xlfn.CONCAT(R67,"mg"),_xlfn.CONCAT(R67,"mg/ ",S67,"ml"))</f>
        <v>600mg/ 2ml</v>
      </c>
      <c r="U67" t="s">
        <v>86</v>
      </c>
      <c r="V67" t="s">
        <v>86</v>
      </c>
      <c r="W67" t="s">
        <v>86</v>
      </c>
      <c r="X67" t="s">
        <v>86</v>
      </c>
      <c r="Y67" t="s">
        <v>86</v>
      </c>
      <c r="Z67" t="s">
        <v>86</v>
      </c>
      <c r="AA67" t="s">
        <v>896</v>
      </c>
    </row>
    <row r="68" spans="1:27" x14ac:dyDescent="0.2">
      <c r="A68" t="s">
        <v>782</v>
      </c>
      <c r="B68">
        <v>67</v>
      </c>
      <c r="C68">
        <v>6</v>
      </c>
      <c r="D68" t="s">
        <v>796</v>
      </c>
      <c r="E68" t="s">
        <v>784</v>
      </c>
      <c r="F68" t="s">
        <v>911</v>
      </c>
      <c r="G68">
        <v>83</v>
      </c>
      <c r="H68" t="s">
        <v>894</v>
      </c>
      <c r="Q68" t="s">
        <v>901</v>
      </c>
      <c r="R68">
        <v>500</v>
      </c>
      <c r="S68">
        <v>4</v>
      </c>
      <c r="T68" t="str">
        <f t="shared" si="1"/>
        <v>500mg/ 4ml</v>
      </c>
      <c r="U68" t="s">
        <v>86</v>
      </c>
      <c r="V68" t="s">
        <v>86</v>
      </c>
      <c r="W68" t="s">
        <v>86</v>
      </c>
      <c r="X68" t="s">
        <v>86</v>
      </c>
      <c r="Y68" t="s">
        <v>86</v>
      </c>
      <c r="Z68" t="s">
        <v>86</v>
      </c>
      <c r="AA68" t="s">
        <v>912</v>
      </c>
    </row>
    <row r="69" spans="1:27" x14ac:dyDescent="0.2">
      <c r="A69" t="s">
        <v>782</v>
      </c>
      <c r="B69">
        <v>68</v>
      </c>
      <c r="C69">
        <v>6</v>
      </c>
      <c r="D69" t="s">
        <v>796</v>
      </c>
      <c r="E69" t="s">
        <v>784</v>
      </c>
      <c r="F69" t="s">
        <v>913</v>
      </c>
      <c r="G69">
        <v>83</v>
      </c>
      <c r="H69" t="s">
        <v>894</v>
      </c>
      <c r="Q69" t="s">
        <v>914</v>
      </c>
      <c r="R69">
        <v>300</v>
      </c>
      <c r="S69">
        <v>1</v>
      </c>
      <c r="T69" t="str">
        <f t="shared" si="1"/>
        <v>300mg/ 1ml</v>
      </c>
      <c r="U69" t="s">
        <v>86</v>
      </c>
      <c r="V69" t="s">
        <v>86</v>
      </c>
      <c r="W69" t="s">
        <v>86</v>
      </c>
      <c r="X69" t="s">
        <v>86</v>
      </c>
      <c r="Y69" t="s">
        <v>86</v>
      </c>
      <c r="Z69" t="s">
        <v>86</v>
      </c>
      <c r="AA69" t="s">
        <v>896</v>
      </c>
    </row>
    <row r="70" spans="1:27" x14ac:dyDescent="0.2">
      <c r="A70" t="s">
        <v>782</v>
      </c>
      <c r="B70">
        <v>69</v>
      </c>
      <c r="C70">
        <v>6</v>
      </c>
      <c r="D70" t="s">
        <v>796</v>
      </c>
      <c r="E70" t="s">
        <v>784</v>
      </c>
      <c r="F70" t="s">
        <v>915</v>
      </c>
      <c r="G70">
        <v>83</v>
      </c>
      <c r="H70" t="s">
        <v>894</v>
      </c>
      <c r="Q70" t="s">
        <v>898</v>
      </c>
      <c r="R70">
        <v>300</v>
      </c>
      <c r="S70">
        <v>1</v>
      </c>
      <c r="T70" t="str">
        <f t="shared" si="1"/>
        <v>300mg/ 1ml</v>
      </c>
      <c r="U70" t="s">
        <v>86</v>
      </c>
      <c r="V70" t="s">
        <v>86</v>
      </c>
      <c r="W70" t="s">
        <v>86</v>
      </c>
      <c r="X70" t="s">
        <v>86</v>
      </c>
      <c r="Y70" t="s">
        <v>86</v>
      </c>
      <c r="Z70" t="s">
        <v>86</v>
      </c>
      <c r="AA70" t="s">
        <v>896</v>
      </c>
    </row>
    <row r="71" spans="1:27" x14ac:dyDescent="0.2">
      <c r="A71" t="s">
        <v>782</v>
      </c>
      <c r="B71">
        <v>70</v>
      </c>
      <c r="C71">
        <v>6</v>
      </c>
      <c r="D71" t="s">
        <v>796</v>
      </c>
      <c r="E71" t="s">
        <v>784</v>
      </c>
      <c r="F71" t="s">
        <v>916</v>
      </c>
      <c r="G71">
        <v>83</v>
      </c>
      <c r="H71" t="s">
        <v>894</v>
      </c>
      <c r="Q71" t="s">
        <v>917</v>
      </c>
      <c r="R71">
        <v>600</v>
      </c>
      <c r="S71">
        <v>2</v>
      </c>
      <c r="T71" t="str">
        <f t="shared" si="1"/>
        <v>600mg/ 2ml</v>
      </c>
      <c r="U71" t="s">
        <v>86</v>
      </c>
      <c r="V71" t="s">
        <v>86</v>
      </c>
      <c r="W71" t="s">
        <v>86</v>
      </c>
      <c r="X71" t="s">
        <v>86</v>
      </c>
      <c r="Y71" t="s">
        <v>86</v>
      </c>
      <c r="Z71" t="s">
        <v>86</v>
      </c>
      <c r="AA71" t="s">
        <v>896</v>
      </c>
    </row>
    <row r="72" spans="1:27" x14ac:dyDescent="0.2">
      <c r="A72" t="s">
        <v>782</v>
      </c>
      <c r="B72">
        <v>71</v>
      </c>
      <c r="C72">
        <v>6</v>
      </c>
      <c r="D72" t="s">
        <v>796</v>
      </c>
      <c r="E72" t="s">
        <v>784</v>
      </c>
      <c r="F72" t="s">
        <v>918</v>
      </c>
      <c r="G72">
        <v>83</v>
      </c>
      <c r="H72" t="s">
        <v>894</v>
      </c>
      <c r="Q72" t="s">
        <v>901</v>
      </c>
      <c r="R72">
        <v>246.8</v>
      </c>
      <c r="S72">
        <v>4</v>
      </c>
      <c r="T72" t="str">
        <f t="shared" si="1"/>
        <v>246.8mg/ 4ml</v>
      </c>
      <c r="U72" t="s">
        <v>86</v>
      </c>
      <c r="V72" t="s">
        <v>86</v>
      </c>
      <c r="W72" t="s">
        <v>86</v>
      </c>
      <c r="X72" t="s">
        <v>86</v>
      </c>
      <c r="Y72" t="s">
        <v>86</v>
      </c>
      <c r="Z72" t="s">
        <v>86</v>
      </c>
      <c r="AA72" t="s">
        <v>896</v>
      </c>
    </row>
    <row r="73" spans="1:27" x14ac:dyDescent="0.2">
      <c r="A73" t="s">
        <v>782</v>
      </c>
      <c r="B73">
        <v>72</v>
      </c>
      <c r="C73">
        <v>6</v>
      </c>
      <c r="D73" t="s">
        <v>796</v>
      </c>
      <c r="E73" t="s">
        <v>784</v>
      </c>
      <c r="F73" t="s">
        <v>919</v>
      </c>
      <c r="G73">
        <v>83</v>
      </c>
      <c r="H73" t="s">
        <v>894</v>
      </c>
      <c r="Q73" t="s">
        <v>898</v>
      </c>
      <c r="R73">
        <v>600</v>
      </c>
      <c r="S73">
        <v>2</v>
      </c>
      <c r="T73" t="str">
        <f t="shared" si="1"/>
        <v>600mg/ 2ml</v>
      </c>
      <c r="U73" t="s">
        <v>86</v>
      </c>
      <c r="V73" t="s">
        <v>86</v>
      </c>
      <c r="W73" t="s">
        <v>86</v>
      </c>
      <c r="X73" t="s">
        <v>86</v>
      </c>
      <c r="Y73" t="s">
        <v>86</v>
      </c>
      <c r="Z73" t="s">
        <v>86</v>
      </c>
      <c r="AA73" t="s">
        <v>896</v>
      </c>
    </row>
    <row r="74" spans="1:27" x14ac:dyDescent="0.2">
      <c r="A74" t="s">
        <v>782</v>
      </c>
      <c r="B74">
        <v>73</v>
      </c>
      <c r="C74">
        <v>4</v>
      </c>
      <c r="D74" t="s">
        <v>859</v>
      </c>
      <c r="E74" t="s">
        <v>784</v>
      </c>
      <c r="F74" t="s">
        <v>920</v>
      </c>
      <c r="G74">
        <v>83</v>
      </c>
      <c r="H74" t="s">
        <v>894</v>
      </c>
      <c r="Q74" t="s">
        <v>921</v>
      </c>
      <c r="R74">
        <v>50</v>
      </c>
      <c r="S74">
        <v>5</v>
      </c>
      <c r="T74" t="str">
        <f t="shared" si="1"/>
        <v>50mg/ 5ml</v>
      </c>
      <c r="U74" t="s">
        <v>86</v>
      </c>
      <c r="V74" t="s">
        <v>86</v>
      </c>
      <c r="W74" t="s">
        <v>86</v>
      </c>
      <c r="X74" t="s">
        <v>86</v>
      </c>
      <c r="Y74" t="s">
        <v>86</v>
      </c>
      <c r="Z74" t="s">
        <v>86</v>
      </c>
      <c r="AA74" t="s">
        <v>896</v>
      </c>
    </row>
    <row r="75" spans="1:27" x14ac:dyDescent="0.2">
      <c r="A75" t="s">
        <v>922</v>
      </c>
      <c r="B75">
        <v>74</v>
      </c>
      <c r="C75">
        <v>6</v>
      </c>
      <c r="D75" s="3" t="s">
        <v>796</v>
      </c>
      <c r="F75" s="3" t="s">
        <v>923</v>
      </c>
      <c r="H75" t="s">
        <v>618</v>
      </c>
      <c r="Q75" t="s">
        <v>924</v>
      </c>
      <c r="R75">
        <v>80</v>
      </c>
      <c r="S75">
        <v>1</v>
      </c>
      <c r="T75" t="str">
        <f t="shared" si="1"/>
        <v>80mg/ 1ml</v>
      </c>
      <c r="U75" t="s">
        <v>86</v>
      </c>
      <c r="V75" t="s">
        <v>86</v>
      </c>
      <c r="W75" t="s">
        <v>86</v>
      </c>
      <c r="X75" t="s">
        <v>86</v>
      </c>
      <c r="Y75" t="s">
        <v>86</v>
      </c>
      <c r="Z75" t="s">
        <v>86</v>
      </c>
    </row>
    <row r="76" spans="1:27" x14ac:dyDescent="0.2">
      <c r="A76" t="s">
        <v>922</v>
      </c>
      <c r="B76">
        <v>75</v>
      </c>
      <c r="C76">
        <v>5</v>
      </c>
      <c r="D76" s="3" t="s">
        <v>783</v>
      </c>
      <c r="F76" s="3" t="s">
        <v>925</v>
      </c>
      <c r="G76">
        <v>61</v>
      </c>
      <c r="H76" t="s">
        <v>618</v>
      </c>
      <c r="I76">
        <v>74</v>
      </c>
      <c r="J76" t="s">
        <v>619</v>
      </c>
      <c r="Q76" t="s">
        <v>926</v>
      </c>
      <c r="R76">
        <v>20</v>
      </c>
      <c r="S76">
        <v>5</v>
      </c>
      <c r="T76" t="str">
        <f t="shared" si="1"/>
        <v>20mg/ 5ml</v>
      </c>
      <c r="U76">
        <v>120</v>
      </c>
      <c r="V76">
        <v>5</v>
      </c>
      <c r="X76" t="s">
        <v>86</v>
      </c>
      <c r="Y76" t="s">
        <v>86</v>
      </c>
      <c r="Z76" t="s">
        <v>86</v>
      </c>
    </row>
    <row r="77" spans="1:27" x14ac:dyDescent="0.2">
      <c r="A77" t="s">
        <v>922</v>
      </c>
      <c r="B77">
        <v>76</v>
      </c>
      <c r="C77">
        <v>5</v>
      </c>
      <c r="D77" s="3" t="s">
        <v>783</v>
      </c>
      <c r="F77" s="3" t="s">
        <v>927</v>
      </c>
      <c r="G77">
        <v>61</v>
      </c>
      <c r="H77" t="s">
        <v>618</v>
      </c>
      <c r="I77">
        <v>74</v>
      </c>
      <c r="J77" t="s">
        <v>619</v>
      </c>
      <c r="Q77" t="s">
        <v>928</v>
      </c>
      <c r="R77">
        <v>200</v>
      </c>
      <c r="S77">
        <v>5</v>
      </c>
      <c r="T77" t="str">
        <f t="shared" si="1"/>
        <v>200mg/ 5ml</v>
      </c>
      <c r="U77">
        <v>40</v>
      </c>
      <c r="V77">
        <v>5</v>
      </c>
      <c r="X77" t="s">
        <v>86</v>
      </c>
      <c r="Y77" t="s">
        <v>86</v>
      </c>
      <c r="Z77" t="s">
        <v>86</v>
      </c>
    </row>
    <row r="78" spans="1:27" x14ac:dyDescent="0.2">
      <c r="A78" t="s">
        <v>922</v>
      </c>
      <c r="B78">
        <v>77</v>
      </c>
      <c r="C78">
        <v>5</v>
      </c>
      <c r="D78" s="3" t="s">
        <v>783</v>
      </c>
      <c r="F78" s="3" t="s">
        <v>929</v>
      </c>
      <c r="G78">
        <v>61</v>
      </c>
      <c r="H78" t="s">
        <v>618</v>
      </c>
      <c r="I78">
        <v>74</v>
      </c>
      <c r="J78" t="s">
        <v>619</v>
      </c>
      <c r="Q78" t="s">
        <v>926</v>
      </c>
      <c r="R78">
        <v>60</v>
      </c>
      <c r="S78">
        <v>5</v>
      </c>
      <c r="T78" t="str">
        <f t="shared" si="1"/>
        <v>60mg/ 5ml</v>
      </c>
      <c r="U78">
        <v>360</v>
      </c>
      <c r="V78">
        <v>5</v>
      </c>
      <c r="X78" t="s">
        <v>86</v>
      </c>
      <c r="Y78" t="s">
        <v>86</v>
      </c>
      <c r="Z78" t="s">
        <v>86</v>
      </c>
    </row>
    <row r="79" spans="1:27" x14ac:dyDescent="0.2">
      <c r="A79" t="s">
        <v>922</v>
      </c>
      <c r="B79">
        <v>78</v>
      </c>
      <c r="C79">
        <v>6</v>
      </c>
      <c r="D79" s="3" t="s">
        <v>796</v>
      </c>
      <c r="F79" s="3" t="s">
        <v>930</v>
      </c>
      <c r="H79" t="s">
        <v>618</v>
      </c>
      <c r="Q79" t="s">
        <v>931</v>
      </c>
      <c r="R79">
        <v>80</v>
      </c>
      <c r="S79">
        <v>1</v>
      </c>
      <c r="T79" t="str">
        <f t="shared" si="1"/>
        <v>80mg/ 1ml</v>
      </c>
      <c r="U79" t="s">
        <v>86</v>
      </c>
      <c r="V79" t="s">
        <v>86</v>
      </c>
      <c r="W79" t="s">
        <v>86</v>
      </c>
      <c r="X79" t="s">
        <v>86</v>
      </c>
      <c r="Y79" t="s">
        <v>86</v>
      </c>
      <c r="Z79" t="s">
        <v>86</v>
      </c>
    </row>
    <row r="80" spans="1:27" x14ac:dyDescent="0.2">
      <c r="A80" t="s">
        <v>922</v>
      </c>
      <c r="B80">
        <v>79</v>
      </c>
      <c r="C80" t="e">
        <v>#N/A</v>
      </c>
      <c r="D80" s="3" t="s">
        <v>932</v>
      </c>
      <c r="F80" s="3" t="s">
        <v>933</v>
      </c>
      <c r="H80" t="s">
        <v>618</v>
      </c>
      <c r="Q80" t="s">
        <v>934</v>
      </c>
      <c r="R80">
        <v>80</v>
      </c>
      <c r="S80" t="s">
        <v>86</v>
      </c>
      <c r="T80" t="str">
        <f t="shared" si="1"/>
        <v>80mg</v>
      </c>
      <c r="U80" t="s">
        <v>86</v>
      </c>
      <c r="V80" t="s">
        <v>86</v>
      </c>
      <c r="W80" t="s">
        <v>86</v>
      </c>
      <c r="X80" t="s">
        <v>86</v>
      </c>
      <c r="Y80" t="s">
        <v>86</v>
      </c>
      <c r="Z80" t="s">
        <v>86</v>
      </c>
    </row>
    <row r="81" spans="1:26" x14ac:dyDescent="0.2">
      <c r="A81" t="s">
        <v>922</v>
      </c>
      <c r="B81">
        <v>80</v>
      </c>
      <c r="C81" t="e">
        <v>#N/A</v>
      </c>
      <c r="D81" s="3" t="s">
        <v>932</v>
      </c>
      <c r="F81" s="3" t="s">
        <v>935</v>
      </c>
      <c r="H81" t="s">
        <v>618</v>
      </c>
      <c r="Q81" t="s">
        <v>936</v>
      </c>
      <c r="R81">
        <v>80</v>
      </c>
      <c r="S81">
        <v>1</v>
      </c>
      <c r="T81" t="str">
        <f t="shared" si="1"/>
        <v>80mg/ 1ml</v>
      </c>
      <c r="U81" t="s">
        <v>86</v>
      </c>
      <c r="V81" t="s">
        <v>86</v>
      </c>
      <c r="W81" t="s">
        <v>86</v>
      </c>
      <c r="X81" t="s">
        <v>86</v>
      </c>
      <c r="Y81" t="s">
        <v>86</v>
      </c>
      <c r="Z81" t="s">
        <v>86</v>
      </c>
    </row>
    <row r="82" spans="1:26" x14ac:dyDescent="0.2">
      <c r="A82" t="s">
        <v>922</v>
      </c>
      <c r="B82">
        <v>81</v>
      </c>
      <c r="C82" t="e">
        <v>#N/A</v>
      </c>
      <c r="D82" s="3" t="s">
        <v>932</v>
      </c>
      <c r="F82" s="3" t="s">
        <v>937</v>
      </c>
      <c r="H82" t="s">
        <v>618</v>
      </c>
      <c r="Q82" t="s">
        <v>938</v>
      </c>
      <c r="R82">
        <v>80</v>
      </c>
      <c r="S82">
        <v>1</v>
      </c>
      <c r="T82" t="str">
        <f t="shared" si="1"/>
        <v>80mg/ 1ml</v>
      </c>
      <c r="U82" t="s">
        <v>86</v>
      </c>
      <c r="V82" t="s">
        <v>86</v>
      </c>
      <c r="W82" t="s">
        <v>86</v>
      </c>
      <c r="X82" t="s">
        <v>86</v>
      </c>
      <c r="Y82" t="s">
        <v>86</v>
      </c>
      <c r="Z82" t="s">
        <v>86</v>
      </c>
    </row>
    <row r="83" spans="1:26" x14ac:dyDescent="0.2">
      <c r="A83" t="s">
        <v>922</v>
      </c>
      <c r="B83">
        <v>82</v>
      </c>
      <c r="C83" t="e">
        <v>#N/A</v>
      </c>
      <c r="D83" s="3" t="s">
        <v>932</v>
      </c>
      <c r="F83" s="3" t="s">
        <v>939</v>
      </c>
      <c r="H83" t="s">
        <v>618</v>
      </c>
      <c r="Q83" t="s">
        <v>938</v>
      </c>
      <c r="R83">
        <v>20</v>
      </c>
      <c r="S83">
        <v>1</v>
      </c>
      <c r="T83" t="str">
        <f t="shared" si="1"/>
        <v>20mg/ 1ml</v>
      </c>
      <c r="U83" t="s">
        <v>86</v>
      </c>
      <c r="V83" t="s">
        <v>86</v>
      </c>
      <c r="W83" t="s">
        <v>86</v>
      </c>
      <c r="X83" t="s">
        <v>86</v>
      </c>
      <c r="Y83" t="s">
        <v>86</v>
      </c>
      <c r="Z83" t="s">
        <v>86</v>
      </c>
    </row>
    <row r="84" spans="1:26" x14ac:dyDescent="0.2">
      <c r="A84" t="s">
        <v>922</v>
      </c>
      <c r="B84">
        <v>83</v>
      </c>
      <c r="C84" t="e">
        <v>#N/A</v>
      </c>
      <c r="D84" s="3" t="s">
        <v>932</v>
      </c>
      <c r="F84" s="3" t="s">
        <v>940</v>
      </c>
      <c r="H84" t="s">
        <v>618</v>
      </c>
      <c r="Q84" t="s">
        <v>941</v>
      </c>
      <c r="R84">
        <v>20</v>
      </c>
      <c r="S84" t="s">
        <v>86</v>
      </c>
      <c r="T84" t="str">
        <f t="shared" si="1"/>
        <v>20mg</v>
      </c>
      <c r="U84" t="s">
        <v>86</v>
      </c>
      <c r="V84" t="s">
        <v>86</v>
      </c>
      <c r="W84" t="s">
        <v>86</v>
      </c>
      <c r="X84" t="s">
        <v>86</v>
      </c>
      <c r="Y84" t="s">
        <v>86</v>
      </c>
      <c r="Z84" t="s">
        <v>86</v>
      </c>
    </row>
    <row r="85" spans="1:26" x14ac:dyDescent="0.2">
      <c r="A85" t="s">
        <v>922</v>
      </c>
      <c r="B85">
        <v>84</v>
      </c>
      <c r="C85" t="e">
        <v>#N/A</v>
      </c>
      <c r="D85" s="3" t="s">
        <v>932</v>
      </c>
      <c r="F85" s="3" t="s">
        <v>940</v>
      </c>
      <c r="H85" t="s">
        <v>618</v>
      </c>
      <c r="Q85" t="s">
        <v>941</v>
      </c>
      <c r="R85">
        <v>40</v>
      </c>
      <c r="S85" t="s">
        <v>86</v>
      </c>
      <c r="T85" t="str">
        <f t="shared" si="1"/>
        <v>40mg</v>
      </c>
      <c r="U85" t="s">
        <v>86</v>
      </c>
      <c r="V85" t="s">
        <v>86</v>
      </c>
      <c r="W85" t="s">
        <v>86</v>
      </c>
      <c r="X85" t="s">
        <v>86</v>
      </c>
      <c r="Y85" t="s">
        <v>86</v>
      </c>
      <c r="Z85" t="s">
        <v>86</v>
      </c>
    </row>
    <row r="86" spans="1:26" x14ac:dyDescent="0.2">
      <c r="A86" t="s">
        <v>922</v>
      </c>
      <c r="B86">
        <v>85</v>
      </c>
      <c r="C86" t="e">
        <v>#N/A</v>
      </c>
      <c r="D86" s="3" t="s">
        <v>932</v>
      </c>
      <c r="F86" s="3" t="s">
        <v>940</v>
      </c>
      <c r="H86" t="s">
        <v>618</v>
      </c>
      <c r="Q86" t="s">
        <v>941</v>
      </c>
      <c r="R86">
        <v>80</v>
      </c>
      <c r="S86" t="s">
        <v>86</v>
      </c>
      <c r="T86" t="str">
        <f t="shared" si="1"/>
        <v>80mg</v>
      </c>
      <c r="U86" t="s">
        <v>86</v>
      </c>
      <c r="V86" t="s">
        <v>86</v>
      </c>
      <c r="W86" t="s">
        <v>86</v>
      </c>
      <c r="X86" t="s">
        <v>86</v>
      </c>
      <c r="Y86" t="s">
        <v>86</v>
      </c>
      <c r="Z86" t="s">
        <v>86</v>
      </c>
    </row>
    <row r="87" spans="1:26" x14ac:dyDescent="0.2">
      <c r="A87" t="s">
        <v>922</v>
      </c>
      <c r="B87">
        <v>86</v>
      </c>
      <c r="C87" t="e">
        <v>#N/A</v>
      </c>
      <c r="D87" s="3" t="s">
        <v>932</v>
      </c>
      <c r="F87" s="3" t="s">
        <v>942</v>
      </c>
      <c r="H87" t="s">
        <v>618</v>
      </c>
      <c r="Q87" t="s">
        <v>943</v>
      </c>
      <c r="R87">
        <v>80</v>
      </c>
      <c r="S87">
        <v>1</v>
      </c>
      <c r="T87" t="str">
        <f t="shared" si="1"/>
        <v>80mg/ 1ml</v>
      </c>
      <c r="U87" t="s">
        <v>86</v>
      </c>
      <c r="V87" t="s">
        <v>86</v>
      </c>
      <c r="W87" t="s">
        <v>86</v>
      </c>
      <c r="X87" t="s">
        <v>86</v>
      </c>
      <c r="Y87" t="s">
        <v>86</v>
      </c>
      <c r="Z87" t="s">
        <v>86</v>
      </c>
    </row>
    <row r="88" spans="1:26" x14ac:dyDescent="0.2">
      <c r="A88" t="s">
        <v>922</v>
      </c>
      <c r="B88">
        <v>87</v>
      </c>
      <c r="C88">
        <v>5</v>
      </c>
      <c r="D88" s="3" t="s">
        <v>783</v>
      </c>
      <c r="F88" s="3" t="s">
        <v>944</v>
      </c>
      <c r="G88">
        <v>61</v>
      </c>
      <c r="H88" t="s">
        <v>618</v>
      </c>
      <c r="I88">
        <v>74</v>
      </c>
      <c r="J88" t="s">
        <v>619</v>
      </c>
      <c r="Q88" t="s">
        <v>945</v>
      </c>
      <c r="R88">
        <v>180</v>
      </c>
      <c r="S88" t="s">
        <v>86</v>
      </c>
      <c r="T88" t="str">
        <f t="shared" si="1"/>
        <v>180mg</v>
      </c>
      <c r="U88">
        <v>1080</v>
      </c>
      <c r="X88" t="s">
        <v>86</v>
      </c>
      <c r="Y88" t="s">
        <v>86</v>
      </c>
      <c r="Z88" t="s">
        <v>86</v>
      </c>
    </row>
    <row r="89" spans="1:26" x14ac:dyDescent="0.2">
      <c r="A89" t="s">
        <v>922</v>
      </c>
      <c r="B89">
        <v>88</v>
      </c>
      <c r="C89">
        <v>5</v>
      </c>
      <c r="D89" s="3" t="s">
        <v>783</v>
      </c>
      <c r="F89" s="3" t="s">
        <v>815</v>
      </c>
      <c r="G89">
        <v>61</v>
      </c>
      <c r="H89" t="s">
        <v>618</v>
      </c>
      <c r="I89">
        <v>74</v>
      </c>
      <c r="J89" t="s">
        <v>619</v>
      </c>
      <c r="Q89" t="s">
        <v>946</v>
      </c>
      <c r="R89">
        <v>180</v>
      </c>
      <c r="S89" t="s">
        <v>86</v>
      </c>
      <c r="T89" t="str">
        <f t="shared" si="1"/>
        <v>180mg</v>
      </c>
      <c r="U89">
        <v>1080</v>
      </c>
      <c r="X89" t="s">
        <v>86</v>
      </c>
      <c r="Y89" t="s">
        <v>86</v>
      </c>
      <c r="Z89" t="s">
        <v>86</v>
      </c>
    </row>
    <row r="90" spans="1:26" x14ac:dyDescent="0.2">
      <c r="A90" t="s">
        <v>922</v>
      </c>
      <c r="B90">
        <v>89</v>
      </c>
      <c r="C90">
        <v>5</v>
      </c>
      <c r="D90" s="3" t="s">
        <v>783</v>
      </c>
      <c r="F90" s="3" t="s">
        <v>947</v>
      </c>
      <c r="G90">
        <v>61</v>
      </c>
      <c r="H90" t="s">
        <v>618</v>
      </c>
      <c r="I90">
        <v>74</v>
      </c>
      <c r="J90" t="s">
        <v>619</v>
      </c>
      <c r="Q90" t="s">
        <v>948</v>
      </c>
      <c r="R90">
        <v>180</v>
      </c>
      <c r="S90" t="s">
        <v>86</v>
      </c>
      <c r="T90" t="str">
        <f t="shared" si="1"/>
        <v>180mg</v>
      </c>
      <c r="U90">
        <v>1080</v>
      </c>
      <c r="X90" t="s">
        <v>86</v>
      </c>
      <c r="Y90" t="s">
        <v>86</v>
      </c>
      <c r="Z90" t="s">
        <v>86</v>
      </c>
    </row>
    <row r="91" spans="1:26" x14ac:dyDescent="0.2">
      <c r="A91" t="s">
        <v>922</v>
      </c>
      <c r="B91">
        <v>90</v>
      </c>
      <c r="C91">
        <v>5</v>
      </c>
      <c r="D91" s="3" t="s">
        <v>783</v>
      </c>
      <c r="F91" s="3" t="s">
        <v>949</v>
      </c>
      <c r="G91">
        <v>61</v>
      </c>
      <c r="H91" t="s">
        <v>618</v>
      </c>
      <c r="I91">
        <v>74</v>
      </c>
      <c r="J91" t="s">
        <v>619</v>
      </c>
      <c r="Q91" t="s">
        <v>950</v>
      </c>
      <c r="R91">
        <v>15</v>
      </c>
      <c r="S91">
        <v>5</v>
      </c>
      <c r="T91" t="str">
        <f t="shared" si="1"/>
        <v>15mg/ 5ml</v>
      </c>
      <c r="U91">
        <v>90</v>
      </c>
      <c r="V91">
        <v>5</v>
      </c>
      <c r="X91" t="s">
        <v>86</v>
      </c>
      <c r="Y91" t="s">
        <v>86</v>
      </c>
      <c r="Z91" t="s">
        <v>86</v>
      </c>
    </row>
    <row r="92" spans="1:26" x14ac:dyDescent="0.2">
      <c r="A92" t="s">
        <v>922</v>
      </c>
      <c r="B92">
        <v>91</v>
      </c>
      <c r="C92">
        <v>5</v>
      </c>
      <c r="D92" s="3" t="s">
        <v>783</v>
      </c>
      <c r="F92" s="3" t="s">
        <v>951</v>
      </c>
      <c r="G92">
        <v>61</v>
      </c>
      <c r="H92" t="s">
        <v>618</v>
      </c>
      <c r="I92">
        <v>74</v>
      </c>
      <c r="J92" t="s">
        <v>619</v>
      </c>
      <c r="Q92" t="s">
        <v>952</v>
      </c>
      <c r="R92">
        <v>60</v>
      </c>
      <c r="S92">
        <v>5</v>
      </c>
      <c r="T92" t="str">
        <f t="shared" si="1"/>
        <v>60mg/ 5ml</v>
      </c>
      <c r="U92">
        <v>360</v>
      </c>
      <c r="V92">
        <v>5</v>
      </c>
      <c r="X92" t="s">
        <v>86</v>
      </c>
      <c r="Y92" t="s">
        <v>86</v>
      </c>
      <c r="Z92" t="s">
        <v>86</v>
      </c>
    </row>
    <row r="93" spans="1:26" x14ac:dyDescent="0.2">
      <c r="A93" t="s">
        <v>922</v>
      </c>
      <c r="B93">
        <v>92</v>
      </c>
      <c r="C93">
        <v>5</v>
      </c>
      <c r="D93" s="3" t="s">
        <v>783</v>
      </c>
      <c r="F93" s="3" t="s">
        <v>953</v>
      </c>
      <c r="G93">
        <v>61</v>
      </c>
      <c r="H93" t="s">
        <v>618</v>
      </c>
      <c r="I93">
        <v>74</v>
      </c>
      <c r="J93" t="s">
        <v>619</v>
      </c>
      <c r="Q93" t="s">
        <v>952</v>
      </c>
      <c r="R93">
        <v>40</v>
      </c>
      <c r="S93">
        <v>5</v>
      </c>
      <c r="T93" t="str">
        <f t="shared" si="1"/>
        <v>40mg/ 5ml</v>
      </c>
      <c r="U93">
        <v>200</v>
      </c>
      <c r="V93">
        <v>5</v>
      </c>
      <c r="X93" t="s">
        <v>86</v>
      </c>
      <c r="Y93" t="s">
        <v>86</v>
      </c>
      <c r="Z93" t="s">
        <v>86</v>
      </c>
    </row>
    <row r="94" spans="1:26" x14ac:dyDescent="0.2">
      <c r="A94" t="s">
        <v>922</v>
      </c>
      <c r="B94">
        <v>93</v>
      </c>
      <c r="C94">
        <v>5</v>
      </c>
      <c r="D94" s="3" t="s">
        <v>783</v>
      </c>
      <c r="F94" s="3" t="s">
        <v>954</v>
      </c>
      <c r="G94">
        <v>61</v>
      </c>
      <c r="H94" t="s">
        <v>618</v>
      </c>
      <c r="I94">
        <v>74</v>
      </c>
      <c r="J94" t="s">
        <v>619</v>
      </c>
      <c r="Q94" t="s">
        <v>952</v>
      </c>
      <c r="R94">
        <v>20</v>
      </c>
      <c r="S94">
        <v>5</v>
      </c>
      <c r="T94" t="str">
        <f t="shared" si="1"/>
        <v>20mg/ 5ml</v>
      </c>
      <c r="U94">
        <v>120</v>
      </c>
      <c r="V94">
        <v>5</v>
      </c>
      <c r="X94" t="s">
        <v>86</v>
      </c>
      <c r="Y94" t="s">
        <v>86</v>
      </c>
      <c r="Z94" t="s">
        <v>86</v>
      </c>
    </row>
    <row r="95" spans="1:26" x14ac:dyDescent="0.2">
      <c r="A95" t="s">
        <v>922</v>
      </c>
      <c r="B95">
        <v>94</v>
      </c>
      <c r="C95">
        <v>5</v>
      </c>
      <c r="D95" s="3" t="s">
        <v>783</v>
      </c>
      <c r="F95" s="3" t="s">
        <v>955</v>
      </c>
      <c r="G95">
        <v>61</v>
      </c>
      <c r="H95" t="s">
        <v>618</v>
      </c>
      <c r="I95">
        <v>74</v>
      </c>
      <c r="J95" t="s">
        <v>619</v>
      </c>
      <c r="Q95" t="s">
        <v>956</v>
      </c>
      <c r="R95">
        <v>180</v>
      </c>
      <c r="S95" t="s">
        <v>86</v>
      </c>
      <c r="T95" t="str">
        <f t="shared" si="1"/>
        <v>180mg</v>
      </c>
      <c r="U95">
        <v>1080</v>
      </c>
      <c r="X95" t="s">
        <v>86</v>
      </c>
      <c r="Y95" t="s">
        <v>86</v>
      </c>
      <c r="Z95" t="s">
        <v>86</v>
      </c>
    </row>
    <row r="96" spans="1:26" x14ac:dyDescent="0.2">
      <c r="A96" t="s">
        <v>922</v>
      </c>
      <c r="B96">
        <v>95</v>
      </c>
      <c r="C96" t="e">
        <v>#N/A</v>
      </c>
      <c r="D96" s="3" t="s">
        <v>957</v>
      </c>
      <c r="F96" s="3" t="s">
        <v>824</v>
      </c>
      <c r="G96">
        <v>61</v>
      </c>
      <c r="H96" t="s">
        <v>618</v>
      </c>
      <c r="I96">
        <v>74</v>
      </c>
      <c r="J96" t="s">
        <v>619</v>
      </c>
      <c r="Q96" t="s">
        <v>825</v>
      </c>
      <c r="R96">
        <v>180</v>
      </c>
      <c r="S96" t="s">
        <v>86</v>
      </c>
      <c r="T96" t="str">
        <f t="shared" si="1"/>
        <v>180mg</v>
      </c>
      <c r="U96">
        <v>1080</v>
      </c>
      <c r="X96" t="s">
        <v>86</v>
      </c>
      <c r="Y96" t="s">
        <v>86</v>
      </c>
      <c r="Z96" t="s">
        <v>86</v>
      </c>
    </row>
    <row r="97" spans="1:26" x14ac:dyDescent="0.2">
      <c r="A97" t="s">
        <v>922</v>
      </c>
      <c r="B97">
        <v>96</v>
      </c>
      <c r="C97">
        <v>5</v>
      </c>
      <c r="D97" s="3" t="s">
        <v>783</v>
      </c>
      <c r="F97" s="3" t="s">
        <v>826</v>
      </c>
      <c r="G97">
        <v>61</v>
      </c>
      <c r="H97" t="s">
        <v>618</v>
      </c>
      <c r="I97">
        <v>74</v>
      </c>
      <c r="J97" t="s">
        <v>619</v>
      </c>
      <c r="Q97" t="s">
        <v>958</v>
      </c>
      <c r="R97">
        <v>180</v>
      </c>
      <c r="S97" t="s">
        <v>86</v>
      </c>
      <c r="T97" t="str">
        <f t="shared" si="1"/>
        <v>180mg</v>
      </c>
      <c r="U97">
        <v>1080</v>
      </c>
      <c r="X97" t="s">
        <v>86</v>
      </c>
      <c r="Y97" t="s">
        <v>86</v>
      </c>
      <c r="Z97" t="s">
        <v>86</v>
      </c>
    </row>
    <row r="98" spans="1:26" x14ac:dyDescent="0.2">
      <c r="A98" t="s">
        <v>922</v>
      </c>
      <c r="B98">
        <v>97</v>
      </c>
      <c r="C98" t="e">
        <v>#N/A</v>
      </c>
      <c r="D98" s="3" t="s">
        <v>957</v>
      </c>
      <c r="F98" s="3" t="s">
        <v>959</v>
      </c>
      <c r="G98">
        <v>61</v>
      </c>
      <c r="H98" t="s">
        <v>618</v>
      </c>
      <c r="I98">
        <v>74</v>
      </c>
      <c r="J98" t="s">
        <v>619</v>
      </c>
      <c r="Q98" t="s">
        <v>960</v>
      </c>
      <c r="R98">
        <v>20</v>
      </c>
      <c r="S98">
        <v>5</v>
      </c>
      <c r="T98" t="str">
        <f t="shared" si="1"/>
        <v>20mg/ 5ml</v>
      </c>
      <c r="U98">
        <v>120</v>
      </c>
      <c r="V98">
        <v>5</v>
      </c>
      <c r="X98" t="s">
        <v>86</v>
      </c>
      <c r="Y98" t="s">
        <v>86</v>
      </c>
      <c r="Z98" t="s">
        <v>86</v>
      </c>
    </row>
    <row r="99" spans="1:26" x14ac:dyDescent="0.2">
      <c r="A99" t="s">
        <v>922</v>
      </c>
      <c r="B99">
        <v>98</v>
      </c>
      <c r="C99" t="e">
        <v>#N/A</v>
      </c>
      <c r="D99" s="5" t="s">
        <v>961</v>
      </c>
      <c r="F99" s="3" t="s">
        <v>962</v>
      </c>
      <c r="H99" t="s">
        <v>618</v>
      </c>
      <c r="Q99" t="s">
        <v>963</v>
      </c>
      <c r="R99">
        <v>40</v>
      </c>
      <c r="S99">
        <v>1</v>
      </c>
      <c r="T99" t="str">
        <f t="shared" si="1"/>
        <v>40mg/ 1ml</v>
      </c>
      <c r="U99" t="s">
        <v>86</v>
      </c>
      <c r="V99" t="s">
        <v>86</v>
      </c>
      <c r="W99" t="s">
        <v>86</v>
      </c>
      <c r="X99" t="s">
        <v>86</v>
      </c>
      <c r="Y99" t="s">
        <v>86</v>
      </c>
      <c r="Z99" t="s">
        <v>86</v>
      </c>
    </row>
    <row r="100" spans="1:26" x14ac:dyDescent="0.2">
      <c r="A100" t="s">
        <v>922</v>
      </c>
      <c r="B100">
        <v>99</v>
      </c>
      <c r="C100" t="e">
        <v>#N/A</v>
      </c>
      <c r="D100" s="5" t="s">
        <v>961</v>
      </c>
      <c r="F100" s="3" t="s">
        <v>964</v>
      </c>
      <c r="H100" t="s">
        <v>618</v>
      </c>
      <c r="Q100">
        <v>0</v>
      </c>
      <c r="R100">
        <v>80</v>
      </c>
      <c r="S100" t="s">
        <v>86</v>
      </c>
      <c r="T100" t="str">
        <f t="shared" si="1"/>
        <v>80mg</v>
      </c>
      <c r="U100" t="s">
        <v>86</v>
      </c>
      <c r="V100" t="s">
        <v>86</v>
      </c>
      <c r="W100" t="s">
        <v>86</v>
      </c>
      <c r="X100" t="s">
        <v>86</v>
      </c>
      <c r="Y100" t="s">
        <v>86</v>
      </c>
      <c r="Z100" t="s">
        <v>86</v>
      </c>
    </row>
    <row r="101" spans="1:26" x14ac:dyDescent="0.2">
      <c r="A101" t="s">
        <v>922</v>
      </c>
      <c r="B101">
        <v>100</v>
      </c>
      <c r="C101" t="e">
        <v>#N/A</v>
      </c>
      <c r="D101" s="5" t="s">
        <v>961</v>
      </c>
      <c r="F101" s="3" t="s">
        <v>965</v>
      </c>
      <c r="G101">
        <v>61</v>
      </c>
      <c r="H101" t="s">
        <v>618</v>
      </c>
      <c r="I101">
        <v>74</v>
      </c>
      <c r="J101" t="s">
        <v>619</v>
      </c>
      <c r="Q101" t="s">
        <v>966</v>
      </c>
      <c r="R101">
        <v>180</v>
      </c>
      <c r="S101" t="s">
        <v>86</v>
      </c>
      <c r="T101" t="str">
        <f t="shared" si="1"/>
        <v>180mg</v>
      </c>
      <c r="U101">
        <v>1080</v>
      </c>
      <c r="X101" t="s">
        <v>86</v>
      </c>
      <c r="Y101" t="s">
        <v>86</v>
      </c>
      <c r="Z101" t="s">
        <v>86</v>
      </c>
    </row>
    <row r="102" spans="1:26" x14ac:dyDescent="0.2">
      <c r="A102" t="s">
        <v>922</v>
      </c>
      <c r="B102">
        <v>101</v>
      </c>
      <c r="C102" t="e">
        <v>#N/A</v>
      </c>
      <c r="D102" s="5" t="s">
        <v>961</v>
      </c>
      <c r="F102" s="3" t="s">
        <v>837</v>
      </c>
      <c r="G102">
        <v>61</v>
      </c>
      <c r="H102" t="s">
        <v>618</v>
      </c>
      <c r="I102">
        <v>74</v>
      </c>
      <c r="J102" t="s">
        <v>619</v>
      </c>
      <c r="Q102" t="s">
        <v>967</v>
      </c>
      <c r="R102">
        <v>180</v>
      </c>
      <c r="S102" t="s">
        <v>86</v>
      </c>
      <c r="T102" t="str">
        <f t="shared" si="1"/>
        <v>180mg</v>
      </c>
      <c r="U102">
        <v>1080</v>
      </c>
      <c r="X102" t="s">
        <v>86</v>
      </c>
      <c r="Y102" t="s">
        <v>86</v>
      </c>
      <c r="Z102" t="s">
        <v>86</v>
      </c>
    </row>
    <row r="103" spans="1:26" x14ac:dyDescent="0.2">
      <c r="A103" t="s">
        <v>922</v>
      </c>
      <c r="B103">
        <v>102</v>
      </c>
      <c r="C103" t="e">
        <v>#N/A</v>
      </c>
      <c r="D103" s="3" t="s">
        <v>968</v>
      </c>
      <c r="F103" s="3" t="s">
        <v>969</v>
      </c>
      <c r="G103">
        <v>61</v>
      </c>
      <c r="H103" t="s">
        <v>618</v>
      </c>
      <c r="I103">
        <v>74</v>
      </c>
      <c r="J103" t="s">
        <v>619</v>
      </c>
      <c r="Q103" t="s">
        <v>970</v>
      </c>
      <c r="R103">
        <v>15</v>
      </c>
      <c r="S103">
        <v>5</v>
      </c>
      <c r="T103" t="str">
        <f t="shared" si="1"/>
        <v>15mg/ 5ml</v>
      </c>
      <c r="U103">
        <v>90</v>
      </c>
      <c r="V103">
        <v>5</v>
      </c>
      <c r="X103" t="s">
        <v>86</v>
      </c>
      <c r="Y103" t="s">
        <v>86</v>
      </c>
      <c r="Z103" t="s">
        <v>86</v>
      </c>
    </row>
    <row r="104" spans="1:26" x14ac:dyDescent="0.2">
      <c r="A104" t="s">
        <v>922</v>
      </c>
      <c r="B104">
        <v>103</v>
      </c>
      <c r="C104" t="e">
        <v>#N/A</v>
      </c>
      <c r="D104" s="3" t="s">
        <v>932</v>
      </c>
      <c r="F104" s="3" t="s">
        <v>847</v>
      </c>
      <c r="H104" t="s">
        <v>618</v>
      </c>
      <c r="Q104" t="s">
        <v>971</v>
      </c>
      <c r="R104">
        <v>80</v>
      </c>
      <c r="S104">
        <v>1</v>
      </c>
      <c r="T104" t="str">
        <f t="shared" si="1"/>
        <v>80mg/ 1ml</v>
      </c>
      <c r="U104" t="s">
        <v>86</v>
      </c>
      <c r="V104" t="s">
        <v>86</v>
      </c>
      <c r="W104" t="s">
        <v>86</v>
      </c>
      <c r="X104" t="s">
        <v>86</v>
      </c>
      <c r="Y104" t="s">
        <v>86</v>
      </c>
      <c r="Z104" t="s">
        <v>86</v>
      </c>
    </row>
    <row r="105" spans="1:26" x14ac:dyDescent="0.2">
      <c r="A105" t="s">
        <v>922</v>
      </c>
      <c r="B105">
        <v>104</v>
      </c>
      <c r="C105">
        <v>5</v>
      </c>
      <c r="D105" s="3" t="s">
        <v>783</v>
      </c>
      <c r="F105" s="3" t="s">
        <v>847</v>
      </c>
      <c r="G105">
        <v>61</v>
      </c>
      <c r="H105" t="s">
        <v>618</v>
      </c>
      <c r="I105">
        <v>74</v>
      </c>
      <c r="J105" t="s">
        <v>619</v>
      </c>
      <c r="Q105" t="s">
        <v>971</v>
      </c>
      <c r="R105">
        <v>180</v>
      </c>
      <c r="S105" t="s">
        <v>86</v>
      </c>
      <c r="T105" t="str">
        <f t="shared" si="1"/>
        <v>180mg</v>
      </c>
      <c r="U105">
        <v>1080</v>
      </c>
      <c r="X105" t="s">
        <v>86</v>
      </c>
      <c r="Y105" t="s">
        <v>86</v>
      </c>
      <c r="Z105" t="s">
        <v>86</v>
      </c>
    </row>
    <row r="106" spans="1:26" x14ac:dyDescent="0.2">
      <c r="A106" t="s">
        <v>922</v>
      </c>
      <c r="B106">
        <v>105</v>
      </c>
      <c r="C106" t="e">
        <v>#N/A</v>
      </c>
      <c r="D106" s="3" t="s">
        <v>957</v>
      </c>
      <c r="F106" s="3" t="s">
        <v>972</v>
      </c>
      <c r="G106">
        <v>61</v>
      </c>
      <c r="H106" t="s">
        <v>618</v>
      </c>
      <c r="I106">
        <v>74</v>
      </c>
      <c r="J106" t="s">
        <v>619</v>
      </c>
      <c r="Q106" t="s">
        <v>973</v>
      </c>
      <c r="R106">
        <v>180</v>
      </c>
      <c r="S106" t="s">
        <v>86</v>
      </c>
      <c r="T106" t="str">
        <f t="shared" si="1"/>
        <v>180mg</v>
      </c>
      <c r="U106">
        <v>1080</v>
      </c>
      <c r="X106" t="s">
        <v>86</v>
      </c>
      <c r="Y106" t="s">
        <v>86</v>
      </c>
      <c r="Z106" t="s">
        <v>86</v>
      </c>
    </row>
    <row r="107" spans="1:26" x14ac:dyDescent="0.2">
      <c r="A107" t="s">
        <v>922</v>
      </c>
      <c r="B107">
        <v>106</v>
      </c>
      <c r="C107" t="e">
        <v>#N/A</v>
      </c>
      <c r="D107" s="3" t="s">
        <v>974</v>
      </c>
      <c r="F107" s="3" t="s">
        <v>975</v>
      </c>
      <c r="H107" t="s">
        <v>976</v>
      </c>
      <c r="Q107" t="s">
        <v>977</v>
      </c>
      <c r="R107">
        <v>4</v>
      </c>
      <c r="S107" t="s">
        <v>86</v>
      </c>
      <c r="T107" t="str">
        <f t="shared" si="1"/>
        <v>4mg</v>
      </c>
      <c r="U107" t="s">
        <v>86</v>
      </c>
      <c r="V107" t="s">
        <v>86</v>
      </c>
      <c r="W107" t="s">
        <v>86</v>
      </c>
      <c r="X107" t="s">
        <v>86</v>
      </c>
      <c r="Y107" t="s">
        <v>86</v>
      </c>
      <c r="Z107" t="s">
        <v>86</v>
      </c>
    </row>
    <row r="108" spans="1:26" x14ac:dyDescent="0.2">
      <c r="A108" t="s">
        <v>922</v>
      </c>
      <c r="B108">
        <v>107</v>
      </c>
      <c r="C108">
        <v>7</v>
      </c>
      <c r="D108" s="3" t="s">
        <v>849</v>
      </c>
      <c r="F108" s="3" t="s">
        <v>978</v>
      </c>
      <c r="H108" t="s">
        <v>305</v>
      </c>
      <c r="Q108" t="s">
        <v>979</v>
      </c>
      <c r="R108">
        <v>120</v>
      </c>
      <c r="S108" t="s">
        <v>86</v>
      </c>
      <c r="T108" t="str">
        <f t="shared" si="1"/>
        <v>120mg</v>
      </c>
      <c r="U108" t="s">
        <v>86</v>
      </c>
      <c r="V108" t="s">
        <v>86</v>
      </c>
      <c r="W108" t="s">
        <v>86</v>
      </c>
      <c r="X108" t="s">
        <v>86</v>
      </c>
      <c r="Y108" t="s">
        <v>86</v>
      </c>
      <c r="Z108" t="s">
        <v>86</v>
      </c>
    </row>
    <row r="109" spans="1:26" x14ac:dyDescent="0.2">
      <c r="A109" t="s">
        <v>922</v>
      </c>
      <c r="B109">
        <v>108</v>
      </c>
      <c r="C109">
        <v>7</v>
      </c>
      <c r="D109" s="3" t="s">
        <v>849</v>
      </c>
      <c r="F109" s="3" t="s">
        <v>980</v>
      </c>
      <c r="H109" t="s">
        <v>305</v>
      </c>
      <c r="Q109" t="s">
        <v>979</v>
      </c>
      <c r="R109">
        <v>30</v>
      </c>
      <c r="S109" t="s">
        <v>86</v>
      </c>
      <c r="T109" t="str">
        <f t="shared" si="1"/>
        <v>30mg</v>
      </c>
      <c r="U109" t="s">
        <v>86</v>
      </c>
      <c r="V109" t="s">
        <v>86</v>
      </c>
      <c r="W109" t="s">
        <v>86</v>
      </c>
      <c r="X109" t="s">
        <v>86</v>
      </c>
      <c r="Y109" t="s">
        <v>86</v>
      </c>
      <c r="Z109" t="s">
        <v>86</v>
      </c>
    </row>
    <row r="110" spans="1:26" x14ac:dyDescent="0.2">
      <c r="A110" t="s">
        <v>922</v>
      </c>
      <c r="B110">
        <v>109</v>
      </c>
      <c r="C110" t="e">
        <v>#N/A</v>
      </c>
      <c r="D110" s="3" t="s">
        <v>932</v>
      </c>
      <c r="F110" s="3" t="s">
        <v>981</v>
      </c>
      <c r="H110" t="s">
        <v>305</v>
      </c>
      <c r="Q110" t="s">
        <v>982</v>
      </c>
      <c r="R110">
        <v>120</v>
      </c>
      <c r="S110" t="s">
        <v>86</v>
      </c>
      <c r="T110" t="str">
        <f t="shared" si="1"/>
        <v>120mg</v>
      </c>
      <c r="U110" t="s">
        <v>86</v>
      </c>
      <c r="V110" t="s">
        <v>86</v>
      </c>
      <c r="W110" t="s">
        <v>86</v>
      </c>
      <c r="X110" t="s">
        <v>86</v>
      </c>
      <c r="Y110" t="s">
        <v>86</v>
      </c>
      <c r="Z110" t="s">
        <v>86</v>
      </c>
    </row>
    <row r="111" spans="1:26" x14ac:dyDescent="0.2">
      <c r="A111" t="s">
        <v>922</v>
      </c>
      <c r="B111">
        <v>110</v>
      </c>
      <c r="C111" t="e">
        <v>#N/A</v>
      </c>
      <c r="D111" s="3" t="s">
        <v>932</v>
      </c>
      <c r="F111" s="3" t="s">
        <v>850</v>
      </c>
      <c r="H111" t="s">
        <v>305</v>
      </c>
      <c r="Q111" t="s">
        <v>983</v>
      </c>
      <c r="R111">
        <v>120</v>
      </c>
      <c r="S111" t="s">
        <v>86</v>
      </c>
      <c r="T111" t="str">
        <f t="shared" si="1"/>
        <v>120mg</v>
      </c>
      <c r="U111" t="s">
        <v>86</v>
      </c>
      <c r="V111" t="s">
        <v>86</v>
      </c>
      <c r="W111" t="s">
        <v>86</v>
      </c>
      <c r="X111" t="s">
        <v>86</v>
      </c>
      <c r="Y111" t="s">
        <v>86</v>
      </c>
      <c r="Z111" t="s">
        <v>86</v>
      </c>
    </row>
    <row r="112" spans="1:26" x14ac:dyDescent="0.2">
      <c r="A112" t="s">
        <v>922</v>
      </c>
      <c r="B112">
        <v>111</v>
      </c>
      <c r="C112" t="e">
        <v>#N/A</v>
      </c>
      <c r="D112" s="3" t="s">
        <v>932</v>
      </c>
      <c r="F112" s="3" t="s">
        <v>853</v>
      </c>
      <c r="H112" t="s">
        <v>305</v>
      </c>
      <c r="Q112" t="s">
        <v>984</v>
      </c>
      <c r="R112">
        <v>30</v>
      </c>
      <c r="S112" t="s">
        <v>86</v>
      </c>
      <c r="T112" t="str">
        <f t="shared" si="1"/>
        <v>30mg</v>
      </c>
      <c r="U112" t="s">
        <v>86</v>
      </c>
      <c r="V112" t="s">
        <v>86</v>
      </c>
      <c r="W112" t="s">
        <v>86</v>
      </c>
      <c r="X112" t="s">
        <v>86</v>
      </c>
      <c r="Y112" t="s">
        <v>86</v>
      </c>
      <c r="Z112" t="s">
        <v>86</v>
      </c>
    </row>
    <row r="113" spans="1:27" x14ac:dyDescent="0.2">
      <c r="A113" t="s">
        <v>922</v>
      </c>
      <c r="B113">
        <v>112</v>
      </c>
      <c r="C113" t="e">
        <v>#N/A</v>
      </c>
      <c r="D113" s="3" t="s">
        <v>985</v>
      </c>
      <c r="F113" s="3" t="s">
        <v>986</v>
      </c>
      <c r="H113" t="s">
        <v>305</v>
      </c>
      <c r="Q113" t="s">
        <v>987</v>
      </c>
      <c r="R113">
        <v>60</v>
      </c>
      <c r="S113" t="s">
        <v>86</v>
      </c>
      <c r="T113" t="str">
        <f t="shared" si="1"/>
        <v>60mg</v>
      </c>
      <c r="U113" t="s">
        <v>86</v>
      </c>
      <c r="V113" t="s">
        <v>86</v>
      </c>
      <c r="W113" t="s">
        <v>86</v>
      </c>
      <c r="X113" t="s">
        <v>86</v>
      </c>
      <c r="Y113" t="s">
        <v>86</v>
      </c>
      <c r="Z113" t="s">
        <v>86</v>
      </c>
    </row>
    <row r="114" spans="1:27" x14ac:dyDescent="0.2">
      <c r="A114" t="s">
        <v>922</v>
      </c>
      <c r="B114">
        <v>113</v>
      </c>
      <c r="C114">
        <v>7</v>
      </c>
      <c r="D114" s="3" t="s">
        <v>849</v>
      </c>
      <c r="F114" s="3" t="s">
        <v>988</v>
      </c>
      <c r="H114" t="s">
        <v>305</v>
      </c>
      <c r="Q114" t="s">
        <v>989</v>
      </c>
      <c r="R114">
        <v>120</v>
      </c>
      <c r="S114" t="s">
        <v>86</v>
      </c>
      <c r="T114" t="str">
        <f t="shared" si="1"/>
        <v>120mg</v>
      </c>
      <c r="U114" t="s">
        <v>86</v>
      </c>
      <c r="V114" t="s">
        <v>86</v>
      </c>
      <c r="W114" t="s">
        <v>86</v>
      </c>
      <c r="X114" t="s">
        <v>86</v>
      </c>
      <c r="Y114" t="s">
        <v>86</v>
      </c>
      <c r="Z114" t="s">
        <v>86</v>
      </c>
    </row>
    <row r="115" spans="1:27" x14ac:dyDescent="0.2">
      <c r="A115" t="s">
        <v>922</v>
      </c>
      <c r="B115">
        <v>114</v>
      </c>
      <c r="C115">
        <v>7</v>
      </c>
      <c r="D115" s="3" t="s">
        <v>849</v>
      </c>
      <c r="F115" s="3" t="s">
        <v>990</v>
      </c>
      <c r="H115" t="s">
        <v>305</v>
      </c>
      <c r="Q115" t="s">
        <v>991</v>
      </c>
      <c r="R115">
        <v>60</v>
      </c>
      <c r="S115" t="s">
        <v>86</v>
      </c>
      <c r="T115" t="str">
        <f t="shared" si="1"/>
        <v>60mg</v>
      </c>
      <c r="U115" t="s">
        <v>86</v>
      </c>
      <c r="V115" t="s">
        <v>86</v>
      </c>
      <c r="W115" t="s">
        <v>86</v>
      </c>
      <c r="X115" t="s">
        <v>86</v>
      </c>
      <c r="Y115" t="s">
        <v>86</v>
      </c>
      <c r="Z115" t="s">
        <v>86</v>
      </c>
    </row>
    <row r="116" spans="1:27" x14ac:dyDescent="0.2">
      <c r="A116" t="s">
        <v>922</v>
      </c>
      <c r="B116">
        <v>115</v>
      </c>
      <c r="C116">
        <v>7</v>
      </c>
      <c r="D116" s="3" t="s">
        <v>849</v>
      </c>
      <c r="F116" s="3" t="s">
        <v>992</v>
      </c>
      <c r="H116" t="s">
        <v>305</v>
      </c>
      <c r="Q116" t="s">
        <v>970</v>
      </c>
      <c r="R116">
        <v>60</v>
      </c>
      <c r="S116" t="s">
        <v>86</v>
      </c>
      <c r="T116" t="str">
        <f t="shared" si="1"/>
        <v>60mg</v>
      </c>
      <c r="U116" t="s">
        <v>86</v>
      </c>
      <c r="V116" t="s">
        <v>86</v>
      </c>
      <c r="W116" t="s">
        <v>86</v>
      </c>
      <c r="X116" t="s">
        <v>86</v>
      </c>
      <c r="Y116" t="s">
        <v>86</v>
      </c>
      <c r="Z116" t="s">
        <v>86</v>
      </c>
    </row>
    <row r="117" spans="1:27" x14ac:dyDescent="0.2">
      <c r="A117" t="s">
        <v>922</v>
      </c>
      <c r="B117">
        <v>116</v>
      </c>
      <c r="C117">
        <v>6</v>
      </c>
      <c r="D117" s="3" t="s">
        <v>796</v>
      </c>
      <c r="F117" s="3" t="s">
        <v>993</v>
      </c>
      <c r="H117" t="s">
        <v>305</v>
      </c>
      <c r="Q117" t="s">
        <v>994</v>
      </c>
      <c r="R117">
        <v>60</v>
      </c>
      <c r="S117" t="s">
        <v>86</v>
      </c>
      <c r="T117" t="str">
        <f t="shared" si="1"/>
        <v>60mg</v>
      </c>
      <c r="U117" t="s">
        <v>86</v>
      </c>
      <c r="V117" t="s">
        <v>86</v>
      </c>
      <c r="W117" t="s">
        <v>86</v>
      </c>
      <c r="X117" t="s">
        <v>86</v>
      </c>
      <c r="Y117" t="s">
        <v>86</v>
      </c>
      <c r="Z117" t="s">
        <v>86</v>
      </c>
    </row>
    <row r="118" spans="1:27" x14ac:dyDescent="0.2">
      <c r="A118" t="s">
        <v>922</v>
      </c>
      <c r="B118">
        <v>117</v>
      </c>
      <c r="C118">
        <v>7</v>
      </c>
      <c r="D118" s="3" t="s">
        <v>849</v>
      </c>
      <c r="F118" s="3" t="s">
        <v>995</v>
      </c>
      <c r="H118" t="s">
        <v>305</v>
      </c>
      <c r="Q118" t="s">
        <v>996</v>
      </c>
      <c r="R118">
        <v>60</v>
      </c>
      <c r="S118" t="s">
        <v>86</v>
      </c>
      <c r="T118" t="str">
        <f t="shared" si="1"/>
        <v>60mg</v>
      </c>
      <c r="U118" t="s">
        <v>86</v>
      </c>
      <c r="V118" t="s">
        <v>86</v>
      </c>
      <c r="W118" t="s">
        <v>86</v>
      </c>
      <c r="X118" t="s">
        <v>86</v>
      </c>
      <c r="Y118" t="s">
        <v>86</v>
      </c>
      <c r="Z118" t="s">
        <v>86</v>
      </c>
    </row>
    <row r="119" spans="1:27" x14ac:dyDescent="0.2">
      <c r="A119" t="s">
        <v>922</v>
      </c>
      <c r="B119">
        <v>118</v>
      </c>
      <c r="C119" t="e">
        <v>#N/A</v>
      </c>
      <c r="D119" s="3" t="s">
        <v>932</v>
      </c>
      <c r="F119" s="3" t="s">
        <v>997</v>
      </c>
      <c r="H119" t="s">
        <v>305</v>
      </c>
      <c r="Q119" t="s">
        <v>998</v>
      </c>
      <c r="R119">
        <v>120</v>
      </c>
      <c r="S119" t="s">
        <v>86</v>
      </c>
      <c r="T119" t="str">
        <f t="shared" si="1"/>
        <v>120mg</v>
      </c>
      <c r="U119" t="s">
        <v>86</v>
      </c>
      <c r="V119" t="s">
        <v>86</v>
      </c>
      <c r="W119" t="s">
        <v>86</v>
      </c>
      <c r="X119" t="s">
        <v>86</v>
      </c>
      <c r="Y119" t="s">
        <v>86</v>
      </c>
      <c r="Z119" t="s">
        <v>86</v>
      </c>
    </row>
    <row r="120" spans="1:27" x14ac:dyDescent="0.2">
      <c r="A120" t="s">
        <v>922</v>
      </c>
      <c r="B120">
        <v>119</v>
      </c>
      <c r="C120" t="e">
        <v>#N/A</v>
      </c>
      <c r="D120" s="3" t="s">
        <v>932</v>
      </c>
      <c r="F120" s="3" t="s">
        <v>999</v>
      </c>
      <c r="H120" t="s">
        <v>305</v>
      </c>
      <c r="Q120" t="s">
        <v>998</v>
      </c>
      <c r="R120">
        <v>60</v>
      </c>
      <c r="S120" t="s">
        <v>86</v>
      </c>
      <c r="T120" t="str">
        <f t="shared" si="1"/>
        <v>60mg</v>
      </c>
      <c r="U120" t="s">
        <v>86</v>
      </c>
      <c r="V120" t="s">
        <v>86</v>
      </c>
      <c r="W120" t="s">
        <v>86</v>
      </c>
      <c r="X120" t="s">
        <v>86</v>
      </c>
      <c r="Y120" t="s">
        <v>86</v>
      </c>
      <c r="Z120" t="s">
        <v>86</v>
      </c>
    </row>
    <row r="121" spans="1:27" x14ac:dyDescent="0.2">
      <c r="A121" t="s">
        <v>922</v>
      </c>
      <c r="B121">
        <v>120</v>
      </c>
      <c r="C121" t="e">
        <v>#N/A</v>
      </c>
      <c r="D121" s="3" t="s">
        <v>932</v>
      </c>
      <c r="F121" s="3" t="s">
        <v>1000</v>
      </c>
      <c r="H121" t="s">
        <v>305</v>
      </c>
      <c r="Q121" t="s">
        <v>1001</v>
      </c>
      <c r="R121">
        <v>60</v>
      </c>
      <c r="S121" t="s">
        <v>86</v>
      </c>
      <c r="T121" t="str">
        <f t="shared" si="1"/>
        <v>60mg</v>
      </c>
      <c r="U121" t="s">
        <v>86</v>
      </c>
      <c r="V121" t="s">
        <v>86</v>
      </c>
      <c r="W121" t="s">
        <v>86</v>
      </c>
      <c r="X121" t="s">
        <v>86</v>
      </c>
      <c r="Y121" t="s">
        <v>86</v>
      </c>
      <c r="Z121" t="s">
        <v>86</v>
      </c>
    </row>
    <row r="122" spans="1:27" x14ac:dyDescent="0.2">
      <c r="A122" t="s">
        <v>922</v>
      </c>
      <c r="B122">
        <v>121</v>
      </c>
      <c r="C122">
        <v>6</v>
      </c>
      <c r="D122" s="3" t="s">
        <v>796</v>
      </c>
      <c r="F122" s="3" t="s">
        <v>1002</v>
      </c>
      <c r="H122" t="s">
        <v>305</v>
      </c>
      <c r="Q122" t="s">
        <v>1003</v>
      </c>
      <c r="R122">
        <v>80</v>
      </c>
      <c r="S122" t="s">
        <v>86</v>
      </c>
      <c r="T122" t="str">
        <f t="shared" si="1"/>
        <v>80mg</v>
      </c>
      <c r="U122" t="s">
        <v>86</v>
      </c>
      <c r="V122" t="s">
        <v>86</v>
      </c>
      <c r="W122" t="s">
        <v>86</v>
      </c>
      <c r="X122" t="s">
        <v>86</v>
      </c>
      <c r="Y122" t="s">
        <v>86</v>
      </c>
      <c r="Z122" t="s">
        <v>86</v>
      </c>
    </row>
    <row r="123" spans="1:27" x14ac:dyDescent="0.2">
      <c r="A123" t="s">
        <v>922</v>
      </c>
      <c r="B123">
        <v>122</v>
      </c>
      <c r="C123" t="e">
        <v>#N/A</v>
      </c>
      <c r="D123" s="3" t="s">
        <v>932</v>
      </c>
      <c r="F123" s="3" t="s">
        <v>1004</v>
      </c>
      <c r="H123" t="s">
        <v>305</v>
      </c>
      <c r="Q123" t="s">
        <v>1005</v>
      </c>
      <c r="R123">
        <v>120</v>
      </c>
      <c r="S123" t="s">
        <v>86</v>
      </c>
      <c r="T123" t="str">
        <f t="shared" si="1"/>
        <v>120mg</v>
      </c>
      <c r="U123" t="s">
        <v>86</v>
      </c>
      <c r="V123" t="s">
        <v>86</v>
      </c>
      <c r="W123" t="s">
        <v>86</v>
      </c>
      <c r="X123" t="s">
        <v>86</v>
      </c>
      <c r="Y123" t="s">
        <v>86</v>
      </c>
      <c r="Z123" t="s">
        <v>86</v>
      </c>
    </row>
    <row r="124" spans="1:27" x14ac:dyDescent="0.2">
      <c r="A124" t="s">
        <v>922</v>
      </c>
      <c r="B124">
        <v>123</v>
      </c>
      <c r="C124" t="e">
        <v>#N/A</v>
      </c>
      <c r="D124" s="3" t="s">
        <v>932</v>
      </c>
      <c r="F124" s="3" t="s">
        <v>1006</v>
      </c>
      <c r="H124" t="s">
        <v>305</v>
      </c>
      <c r="Q124" t="s">
        <v>1001</v>
      </c>
      <c r="R124">
        <v>60</v>
      </c>
      <c r="S124" t="s">
        <v>86</v>
      </c>
      <c r="T124" t="str">
        <f t="shared" si="1"/>
        <v>60mg</v>
      </c>
      <c r="U124" t="s">
        <v>86</v>
      </c>
      <c r="V124" t="s">
        <v>86</v>
      </c>
      <c r="W124" t="s">
        <v>86</v>
      </c>
      <c r="X124" t="s">
        <v>86</v>
      </c>
      <c r="Y124" t="s">
        <v>86</v>
      </c>
      <c r="Z124" t="s">
        <v>86</v>
      </c>
    </row>
    <row r="125" spans="1:27" x14ac:dyDescent="0.2">
      <c r="A125" t="s">
        <v>922</v>
      </c>
      <c r="B125">
        <v>124</v>
      </c>
      <c r="C125" t="e">
        <v>#N/A</v>
      </c>
      <c r="D125" s="3" t="s">
        <v>1007</v>
      </c>
      <c r="F125" s="3" t="s">
        <v>1008</v>
      </c>
      <c r="H125" t="s">
        <v>305</v>
      </c>
      <c r="Q125" t="s">
        <v>1009</v>
      </c>
      <c r="R125">
        <v>120</v>
      </c>
      <c r="S125" t="s">
        <v>86</v>
      </c>
      <c r="T125" t="str">
        <f t="shared" si="1"/>
        <v>120mg</v>
      </c>
      <c r="U125" t="s">
        <v>86</v>
      </c>
      <c r="V125" t="s">
        <v>86</v>
      </c>
      <c r="W125" t="s">
        <v>86</v>
      </c>
      <c r="X125" t="s">
        <v>86</v>
      </c>
      <c r="Y125" t="s">
        <v>86</v>
      </c>
      <c r="Z125" t="s">
        <v>86</v>
      </c>
    </row>
    <row r="126" spans="1:27" x14ac:dyDescent="0.2">
      <c r="A126" t="s">
        <v>922</v>
      </c>
      <c r="B126">
        <v>125</v>
      </c>
      <c r="C126" t="e">
        <v>#N/A</v>
      </c>
      <c r="D126" s="3" t="s">
        <v>932</v>
      </c>
      <c r="F126" s="3" t="s">
        <v>1010</v>
      </c>
      <c r="H126" t="s">
        <v>652</v>
      </c>
      <c r="Q126" t="s">
        <v>1011</v>
      </c>
      <c r="R126">
        <v>300</v>
      </c>
      <c r="S126">
        <v>1</v>
      </c>
      <c r="T126" t="str">
        <f t="shared" si="1"/>
        <v>300mg/ 1ml</v>
      </c>
      <c r="U126" t="s">
        <v>86</v>
      </c>
      <c r="V126" t="s">
        <v>86</v>
      </c>
      <c r="W126" t="s">
        <v>86</v>
      </c>
      <c r="X126" t="s">
        <v>86</v>
      </c>
      <c r="Y126" t="s">
        <v>86</v>
      </c>
      <c r="Z126" t="s">
        <v>86</v>
      </c>
    </row>
    <row r="127" spans="1:27" x14ac:dyDescent="0.2">
      <c r="A127" t="s">
        <v>782</v>
      </c>
      <c r="B127">
        <v>126</v>
      </c>
      <c r="C127">
        <v>1</v>
      </c>
      <c r="D127" t="s">
        <v>303</v>
      </c>
      <c r="E127" t="s">
        <v>1012</v>
      </c>
      <c r="F127" t="s">
        <v>1013</v>
      </c>
      <c r="G127">
        <v>71</v>
      </c>
      <c r="H127" t="s">
        <v>361</v>
      </c>
      <c r="I127">
        <v>85</v>
      </c>
      <c r="J127" t="s">
        <v>460</v>
      </c>
      <c r="K127">
        <v>81</v>
      </c>
      <c r="L127" t="s">
        <v>459</v>
      </c>
      <c r="Q127" t="s">
        <v>825</v>
      </c>
      <c r="R127">
        <v>60</v>
      </c>
      <c r="S127" t="s">
        <v>86</v>
      </c>
      <c r="T127" t="str">
        <f>IF(S127=".",_xlfn.CONCAT(R127,"mg"),_xlfn.CONCAT(R127,"mg/ ",S127,"ml"))</f>
        <v>60mg</v>
      </c>
      <c r="U127">
        <v>500</v>
      </c>
      <c r="V127" t="s">
        <v>86</v>
      </c>
      <c r="W127" t="str">
        <f>IF(U127=".",".",IF(V127=".",_xlfn.CONCAT(U127,"mg"),_xlfn.CONCAT(U127,"mg/ ",V127,"ml")))</f>
        <v>500mg</v>
      </c>
      <c r="X127">
        <v>25</v>
      </c>
      <c r="Y127" t="s">
        <v>86</v>
      </c>
      <c r="Z127" t="str">
        <f>IF(X127=".",".",IF(Y127=".",_xlfn.CONCAT(X127,"mg"),_xlfn.CONCAT(X127,"mg/ ",Y127,"ml")))</f>
        <v>25mg</v>
      </c>
      <c r="AA127" t="s">
        <v>1014</v>
      </c>
    </row>
    <row r="128" spans="1:27" x14ac:dyDescent="0.2">
      <c r="A128" t="s">
        <v>782</v>
      </c>
      <c r="B128">
        <v>127</v>
      </c>
      <c r="C128">
        <v>1</v>
      </c>
      <c r="D128" t="s">
        <v>303</v>
      </c>
      <c r="E128" t="s">
        <v>1012</v>
      </c>
      <c r="F128" t="s">
        <v>1015</v>
      </c>
      <c r="G128">
        <v>85</v>
      </c>
      <c r="H128" t="s">
        <v>460</v>
      </c>
      <c r="I128">
        <v>81</v>
      </c>
      <c r="J128" t="s">
        <v>459</v>
      </c>
      <c r="Q128" t="s">
        <v>605</v>
      </c>
      <c r="R128">
        <v>500</v>
      </c>
      <c r="S128" t="s">
        <v>86</v>
      </c>
      <c r="T128" t="str">
        <f>IF(S128=".",_xlfn.CONCAT(R128,"mg"),_xlfn.CONCAT(R128,"mg/ ",S128,"ml"))</f>
        <v>500mg</v>
      </c>
      <c r="U128">
        <v>25</v>
      </c>
      <c r="V128" t="s">
        <v>86</v>
      </c>
      <c r="W128" t="str">
        <f t="shared" ref="W128:W191" si="2">IF(U128=".",".",IF(V128=".",_xlfn.CONCAT(U128,"mg"),_xlfn.CONCAT(U128,"mg/ ",V128,"ml")))</f>
        <v>25mg</v>
      </c>
      <c r="X128" t="s">
        <v>86</v>
      </c>
      <c r="Y128" t="s">
        <v>86</v>
      </c>
      <c r="Z128" t="s">
        <v>86</v>
      </c>
      <c r="AA128" t="s">
        <v>1016</v>
      </c>
    </row>
    <row r="129" spans="1:27" x14ac:dyDescent="0.2">
      <c r="A129" t="s">
        <v>782</v>
      </c>
      <c r="B129">
        <v>128</v>
      </c>
      <c r="C129">
        <v>2</v>
      </c>
      <c r="D129" t="s">
        <v>1017</v>
      </c>
      <c r="E129" t="s">
        <v>1012</v>
      </c>
      <c r="F129" t="s">
        <v>1018</v>
      </c>
      <c r="G129">
        <v>61</v>
      </c>
      <c r="H129" t="s">
        <v>323</v>
      </c>
      <c r="Q129" t="s">
        <v>1019</v>
      </c>
      <c r="R129">
        <v>40</v>
      </c>
      <c r="S129" t="s">
        <v>86</v>
      </c>
      <c r="T129" t="str">
        <f t="shared" si="1"/>
        <v>40mg</v>
      </c>
      <c r="U129" t="s">
        <v>86</v>
      </c>
      <c r="V129" t="s">
        <v>86</v>
      </c>
      <c r="W129" t="str">
        <f t="shared" si="2"/>
        <v>.</v>
      </c>
      <c r="X129" t="s">
        <v>86</v>
      </c>
      <c r="Y129" t="s">
        <v>86</v>
      </c>
      <c r="Z129" t="s">
        <v>86</v>
      </c>
      <c r="AA129" t="s">
        <v>799</v>
      </c>
    </row>
    <row r="130" spans="1:27" x14ac:dyDescent="0.2">
      <c r="A130" t="s">
        <v>782</v>
      </c>
      <c r="B130">
        <v>129</v>
      </c>
      <c r="C130">
        <v>1</v>
      </c>
      <c r="D130" t="s">
        <v>303</v>
      </c>
      <c r="E130" t="s">
        <v>1012</v>
      </c>
      <c r="F130" t="s">
        <v>1020</v>
      </c>
      <c r="G130">
        <v>60</v>
      </c>
      <c r="H130" t="s">
        <v>404</v>
      </c>
      <c r="Q130">
        <v>99</v>
      </c>
      <c r="R130">
        <v>200</v>
      </c>
      <c r="S130" t="s">
        <v>86</v>
      </c>
      <c r="T130" t="str">
        <f t="shared" si="1"/>
        <v>200mg</v>
      </c>
      <c r="U130" t="s">
        <v>86</v>
      </c>
      <c r="V130" t="s">
        <v>86</v>
      </c>
      <c r="W130" t="str">
        <f t="shared" si="2"/>
        <v>.</v>
      </c>
      <c r="X130" t="s">
        <v>86</v>
      </c>
      <c r="Y130" t="s">
        <v>86</v>
      </c>
      <c r="Z130" t="s">
        <v>86</v>
      </c>
      <c r="AA130" t="s">
        <v>787</v>
      </c>
    </row>
    <row r="131" spans="1:27" x14ac:dyDescent="0.2">
      <c r="A131" t="s">
        <v>782</v>
      </c>
      <c r="B131">
        <v>130</v>
      </c>
      <c r="C131">
        <v>1</v>
      </c>
      <c r="D131" t="s">
        <v>303</v>
      </c>
      <c r="E131" t="s">
        <v>1012</v>
      </c>
      <c r="F131" t="s">
        <v>1021</v>
      </c>
      <c r="G131">
        <v>85</v>
      </c>
      <c r="H131" t="s">
        <v>460</v>
      </c>
      <c r="I131">
        <v>81</v>
      </c>
      <c r="J131" t="s">
        <v>459</v>
      </c>
      <c r="Q131" t="s">
        <v>1022</v>
      </c>
      <c r="R131">
        <v>500</v>
      </c>
      <c r="S131" t="s">
        <v>86</v>
      </c>
      <c r="T131" t="str">
        <f t="shared" ref="T131:T194" si="3">IF(S131=".",_xlfn.CONCAT(R131,"mg"),_xlfn.CONCAT(R131,"mg/ ",S131,"ml"))</f>
        <v>500mg</v>
      </c>
      <c r="U131">
        <v>25</v>
      </c>
      <c r="V131" t="s">
        <v>86</v>
      </c>
      <c r="W131" t="str">
        <f t="shared" si="2"/>
        <v>25mg</v>
      </c>
      <c r="X131" t="s">
        <v>86</v>
      </c>
      <c r="Y131" t="s">
        <v>86</v>
      </c>
      <c r="Z131" t="s">
        <v>86</v>
      </c>
      <c r="AA131" t="s">
        <v>1016</v>
      </c>
    </row>
    <row r="132" spans="1:27" x14ac:dyDescent="0.2">
      <c r="A132" t="s">
        <v>782</v>
      </c>
      <c r="B132">
        <v>131</v>
      </c>
      <c r="C132">
        <v>1</v>
      </c>
      <c r="D132" t="s">
        <v>303</v>
      </c>
      <c r="E132" t="s">
        <v>1012</v>
      </c>
      <c r="F132" t="s">
        <v>1023</v>
      </c>
      <c r="G132">
        <v>65</v>
      </c>
      <c r="H132" t="s">
        <v>418</v>
      </c>
      <c r="I132">
        <v>60</v>
      </c>
      <c r="J132" t="s">
        <v>404</v>
      </c>
      <c r="Q132" t="s">
        <v>328</v>
      </c>
      <c r="R132">
        <v>25</v>
      </c>
      <c r="S132" t="s">
        <v>86</v>
      </c>
      <c r="T132" t="str">
        <f t="shared" si="3"/>
        <v>25mg</v>
      </c>
      <c r="U132">
        <v>67.5</v>
      </c>
      <c r="V132" t="s">
        <v>86</v>
      </c>
      <c r="W132" t="str">
        <f t="shared" si="2"/>
        <v>67.5mg</v>
      </c>
      <c r="X132" t="s">
        <v>86</v>
      </c>
      <c r="Y132" t="s">
        <v>86</v>
      </c>
      <c r="Z132" t="s">
        <v>86</v>
      </c>
      <c r="AA132" t="s">
        <v>858</v>
      </c>
    </row>
    <row r="133" spans="1:27" x14ac:dyDescent="0.2">
      <c r="A133" t="s">
        <v>782</v>
      </c>
      <c r="B133">
        <v>132</v>
      </c>
      <c r="C133">
        <v>1</v>
      </c>
      <c r="D133" t="s">
        <v>303</v>
      </c>
      <c r="E133" t="s">
        <v>1012</v>
      </c>
      <c r="F133" t="s">
        <v>1024</v>
      </c>
      <c r="G133">
        <v>65</v>
      </c>
      <c r="H133" t="s">
        <v>418</v>
      </c>
      <c r="I133">
        <v>60</v>
      </c>
      <c r="J133" t="s">
        <v>404</v>
      </c>
      <c r="Q133" t="s">
        <v>328</v>
      </c>
      <c r="R133">
        <v>50</v>
      </c>
      <c r="S133" t="s">
        <v>86</v>
      </c>
      <c r="T133" t="str">
        <f t="shared" si="3"/>
        <v>50mg</v>
      </c>
      <c r="U133">
        <v>135</v>
      </c>
      <c r="V133" t="s">
        <v>86</v>
      </c>
      <c r="W133" t="str">
        <f t="shared" si="2"/>
        <v>135mg</v>
      </c>
      <c r="X133" t="s">
        <v>86</v>
      </c>
      <c r="Y133" t="s">
        <v>86</v>
      </c>
      <c r="Z133" t="s">
        <v>86</v>
      </c>
      <c r="AA133" t="s">
        <v>858</v>
      </c>
    </row>
    <row r="134" spans="1:27" x14ac:dyDescent="0.2">
      <c r="A134" t="s">
        <v>782</v>
      </c>
      <c r="B134">
        <v>133</v>
      </c>
      <c r="C134">
        <v>1</v>
      </c>
      <c r="D134" t="s">
        <v>303</v>
      </c>
      <c r="E134" t="s">
        <v>1012</v>
      </c>
      <c r="F134" t="s">
        <v>1025</v>
      </c>
      <c r="G134">
        <v>62</v>
      </c>
      <c r="H134" t="s">
        <v>1026</v>
      </c>
      <c r="I134">
        <v>76</v>
      </c>
      <c r="J134" t="s">
        <v>1027</v>
      </c>
      <c r="Q134" t="s">
        <v>798</v>
      </c>
      <c r="R134">
        <v>125</v>
      </c>
      <c r="S134" t="s">
        <v>86</v>
      </c>
      <c r="T134" t="str">
        <f t="shared" si="3"/>
        <v>125mg</v>
      </c>
      <c r="U134">
        <v>50</v>
      </c>
      <c r="V134" t="s">
        <v>86</v>
      </c>
      <c r="W134" t="str">
        <f t="shared" si="2"/>
        <v>50mg</v>
      </c>
      <c r="X134" t="s">
        <v>86</v>
      </c>
      <c r="Y134" t="s">
        <v>86</v>
      </c>
      <c r="Z134" t="s">
        <v>86</v>
      </c>
      <c r="AA134" t="s">
        <v>1028</v>
      </c>
    </row>
    <row r="135" spans="1:27" x14ac:dyDescent="0.2">
      <c r="A135" t="s">
        <v>782</v>
      </c>
      <c r="B135">
        <v>134</v>
      </c>
      <c r="C135">
        <v>1</v>
      </c>
      <c r="D135" t="s">
        <v>303</v>
      </c>
      <c r="E135" t="s">
        <v>1012</v>
      </c>
      <c r="F135" t="s">
        <v>1029</v>
      </c>
      <c r="G135">
        <v>61</v>
      </c>
      <c r="H135" t="s">
        <v>323</v>
      </c>
      <c r="I135">
        <v>74</v>
      </c>
      <c r="J135" t="s">
        <v>324</v>
      </c>
      <c r="Q135" t="s">
        <v>1030</v>
      </c>
      <c r="R135">
        <v>20</v>
      </c>
      <c r="S135" t="s">
        <v>86</v>
      </c>
      <c r="T135" t="str">
        <f t="shared" si="3"/>
        <v>20mg</v>
      </c>
      <c r="U135">
        <v>120</v>
      </c>
      <c r="V135" t="s">
        <v>86</v>
      </c>
      <c r="W135" t="str">
        <f t="shared" si="2"/>
        <v>120mg</v>
      </c>
      <c r="X135" t="s">
        <v>86</v>
      </c>
      <c r="Y135" t="s">
        <v>86</v>
      </c>
      <c r="Z135" t="s">
        <v>86</v>
      </c>
      <c r="AA135" t="s">
        <v>794</v>
      </c>
    </row>
    <row r="136" spans="1:27" x14ac:dyDescent="0.2">
      <c r="A136" t="s">
        <v>782</v>
      </c>
      <c r="B136">
        <v>135</v>
      </c>
      <c r="C136">
        <v>1</v>
      </c>
      <c r="D136" t="s">
        <v>303</v>
      </c>
      <c r="E136" t="s">
        <v>1012</v>
      </c>
      <c r="F136" t="s">
        <v>1031</v>
      </c>
      <c r="G136">
        <v>83</v>
      </c>
      <c r="H136" t="s">
        <v>894</v>
      </c>
      <c r="Q136" t="s">
        <v>901</v>
      </c>
      <c r="R136">
        <v>250</v>
      </c>
      <c r="S136" t="s">
        <v>86</v>
      </c>
      <c r="T136" t="str">
        <f t="shared" si="3"/>
        <v>250mg</v>
      </c>
      <c r="U136" t="s">
        <v>86</v>
      </c>
      <c r="V136" t="s">
        <v>86</v>
      </c>
      <c r="W136" t="str">
        <f t="shared" si="2"/>
        <v>.</v>
      </c>
      <c r="X136" t="s">
        <v>86</v>
      </c>
      <c r="Y136" t="s">
        <v>86</v>
      </c>
      <c r="Z136" t="s">
        <v>86</v>
      </c>
      <c r="AA136" t="s">
        <v>896</v>
      </c>
    </row>
    <row r="137" spans="1:27" x14ac:dyDescent="0.2">
      <c r="A137" t="s">
        <v>782</v>
      </c>
      <c r="B137">
        <v>136</v>
      </c>
      <c r="C137">
        <v>1</v>
      </c>
      <c r="D137" t="s">
        <v>303</v>
      </c>
      <c r="E137" t="s">
        <v>1012</v>
      </c>
      <c r="F137" t="s">
        <v>1032</v>
      </c>
      <c r="G137">
        <v>71</v>
      </c>
      <c r="H137" t="s">
        <v>361</v>
      </c>
      <c r="I137">
        <v>77</v>
      </c>
      <c r="J137" t="s">
        <v>362</v>
      </c>
      <c r="Q137" t="s">
        <v>1033</v>
      </c>
      <c r="R137">
        <v>40</v>
      </c>
      <c r="S137" t="s">
        <v>86</v>
      </c>
      <c r="T137" t="str">
        <f t="shared" si="3"/>
        <v>40mg</v>
      </c>
      <c r="U137">
        <v>320</v>
      </c>
      <c r="V137" t="s">
        <v>86</v>
      </c>
      <c r="W137" t="str">
        <f t="shared" si="2"/>
        <v>320mg</v>
      </c>
      <c r="X137" t="s">
        <v>86</v>
      </c>
      <c r="Y137" t="s">
        <v>86</v>
      </c>
      <c r="Z137" t="s">
        <v>86</v>
      </c>
      <c r="AA137" t="s">
        <v>1034</v>
      </c>
    </row>
    <row r="138" spans="1:27" x14ac:dyDescent="0.2">
      <c r="A138" t="s">
        <v>782</v>
      </c>
      <c r="B138">
        <v>137</v>
      </c>
      <c r="C138">
        <v>1</v>
      </c>
      <c r="D138" t="s">
        <v>303</v>
      </c>
      <c r="E138" t="s">
        <v>1012</v>
      </c>
      <c r="F138" t="s">
        <v>1035</v>
      </c>
      <c r="G138">
        <v>65</v>
      </c>
      <c r="H138" t="s">
        <v>418</v>
      </c>
      <c r="I138">
        <v>85</v>
      </c>
      <c r="J138" t="s">
        <v>460</v>
      </c>
      <c r="K138">
        <v>81</v>
      </c>
      <c r="L138" t="s">
        <v>459</v>
      </c>
      <c r="Q138" t="s">
        <v>1036</v>
      </c>
      <c r="R138">
        <v>200</v>
      </c>
      <c r="S138" t="s">
        <v>86</v>
      </c>
      <c r="T138" t="str">
        <f t="shared" si="3"/>
        <v>200mg</v>
      </c>
      <c r="U138">
        <v>500</v>
      </c>
      <c r="V138" t="s">
        <v>86</v>
      </c>
      <c r="W138" t="str">
        <f t="shared" si="2"/>
        <v>500mg</v>
      </c>
      <c r="X138">
        <v>25</v>
      </c>
      <c r="Y138" t="s">
        <v>86</v>
      </c>
      <c r="Z138" t="str">
        <f>IF(X138=".",".",IF(Y138=".",_xlfn.CONCAT(X138,"mg"),_xlfn.CONCAT(X138,"mg/ ",Y138,"ml")))</f>
        <v>25mg</v>
      </c>
      <c r="AA138" t="s">
        <v>1037</v>
      </c>
    </row>
    <row r="139" spans="1:27" x14ac:dyDescent="0.2">
      <c r="A139" t="s">
        <v>782</v>
      </c>
      <c r="B139">
        <v>138</v>
      </c>
      <c r="C139">
        <v>1</v>
      </c>
      <c r="D139" t="s">
        <v>303</v>
      </c>
      <c r="E139" t="s">
        <v>1012</v>
      </c>
      <c r="F139" t="s">
        <v>1038</v>
      </c>
      <c r="G139">
        <v>65</v>
      </c>
      <c r="H139" t="s">
        <v>418</v>
      </c>
      <c r="I139">
        <v>60</v>
      </c>
      <c r="J139" t="s">
        <v>404</v>
      </c>
      <c r="Q139" t="s">
        <v>1039</v>
      </c>
      <c r="R139">
        <v>100</v>
      </c>
      <c r="S139" t="s">
        <v>86</v>
      </c>
      <c r="T139" t="str">
        <f t="shared" si="3"/>
        <v>100mg</v>
      </c>
      <c r="U139">
        <v>300</v>
      </c>
      <c r="V139" t="s">
        <v>86</v>
      </c>
      <c r="W139" t="str">
        <f t="shared" si="2"/>
        <v>300mg</v>
      </c>
      <c r="X139" t="s">
        <v>86</v>
      </c>
      <c r="Y139" t="s">
        <v>86</v>
      </c>
      <c r="Z139" t="s">
        <v>86</v>
      </c>
      <c r="AA139" t="s">
        <v>858</v>
      </c>
    </row>
    <row r="140" spans="1:27" x14ac:dyDescent="0.2">
      <c r="A140" t="s">
        <v>782</v>
      </c>
      <c r="B140">
        <v>139</v>
      </c>
      <c r="C140">
        <v>1</v>
      </c>
      <c r="D140" t="s">
        <v>303</v>
      </c>
      <c r="E140" t="s">
        <v>1012</v>
      </c>
      <c r="F140" t="s">
        <v>1040</v>
      </c>
      <c r="G140">
        <v>61</v>
      </c>
      <c r="H140" t="s">
        <v>323</v>
      </c>
      <c r="I140">
        <v>74</v>
      </c>
      <c r="J140" t="s">
        <v>324</v>
      </c>
      <c r="Q140" t="s">
        <v>328</v>
      </c>
      <c r="R140">
        <v>20</v>
      </c>
      <c r="S140" t="s">
        <v>86</v>
      </c>
      <c r="T140" t="str">
        <f t="shared" si="3"/>
        <v>20mg</v>
      </c>
      <c r="U140">
        <v>120</v>
      </c>
      <c r="V140" t="s">
        <v>86</v>
      </c>
      <c r="W140" t="str">
        <f t="shared" si="2"/>
        <v>120mg</v>
      </c>
      <c r="X140" t="s">
        <v>86</v>
      </c>
      <c r="Y140" t="s">
        <v>86</v>
      </c>
      <c r="Z140" t="s">
        <v>86</v>
      </c>
      <c r="AA140" t="s">
        <v>794</v>
      </c>
    </row>
    <row r="141" spans="1:27" x14ac:dyDescent="0.2">
      <c r="A141" t="s">
        <v>782</v>
      </c>
      <c r="B141">
        <v>140</v>
      </c>
      <c r="C141">
        <v>1</v>
      </c>
      <c r="D141" t="s">
        <v>303</v>
      </c>
      <c r="E141" t="s">
        <v>1012</v>
      </c>
      <c r="F141" t="s">
        <v>1041</v>
      </c>
      <c r="G141">
        <v>61</v>
      </c>
      <c r="H141" t="s">
        <v>323</v>
      </c>
      <c r="I141">
        <v>74</v>
      </c>
      <c r="J141" t="s">
        <v>324</v>
      </c>
      <c r="Q141" t="s">
        <v>328</v>
      </c>
      <c r="R141">
        <v>20</v>
      </c>
      <c r="S141" t="s">
        <v>86</v>
      </c>
      <c r="T141" t="str">
        <f t="shared" si="3"/>
        <v>20mg</v>
      </c>
      <c r="U141">
        <v>120</v>
      </c>
      <c r="V141" t="s">
        <v>86</v>
      </c>
      <c r="W141" t="str">
        <f t="shared" si="2"/>
        <v>120mg</v>
      </c>
      <c r="X141" t="s">
        <v>86</v>
      </c>
      <c r="Y141" t="s">
        <v>86</v>
      </c>
      <c r="Z141" t="s">
        <v>86</v>
      </c>
      <c r="AA141" t="s">
        <v>794</v>
      </c>
    </row>
    <row r="142" spans="1:27" x14ac:dyDescent="0.2">
      <c r="A142" t="s">
        <v>782</v>
      </c>
      <c r="B142">
        <v>141</v>
      </c>
      <c r="C142">
        <v>1</v>
      </c>
      <c r="D142" t="s">
        <v>303</v>
      </c>
      <c r="E142" t="s">
        <v>1012</v>
      </c>
      <c r="F142" t="s">
        <v>1042</v>
      </c>
      <c r="G142">
        <v>61</v>
      </c>
      <c r="H142" t="s">
        <v>323</v>
      </c>
      <c r="I142">
        <v>74</v>
      </c>
      <c r="J142" t="s">
        <v>324</v>
      </c>
      <c r="Q142" t="s">
        <v>328</v>
      </c>
      <c r="R142">
        <v>20</v>
      </c>
      <c r="S142" t="s">
        <v>86</v>
      </c>
      <c r="T142" t="str">
        <f t="shared" si="3"/>
        <v>20mg</v>
      </c>
      <c r="U142">
        <v>120</v>
      </c>
      <c r="V142" t="s">
        <v>86</v>
      </c>
      <c r="W142" t="str">
        <f t="shared" si="2"/>
        <v>120mg</v>
      </c>
      <c r="X142" t="s">
        <v>86</v>
      </c>
      <c r="Y142" t="s">
        <v>86</v>
      </c>
      <c r="Z142" t="s">
        <v>86</v>
      </c>
      <c r="AA142" t="s">
        <v>794</v>
      </c>
    </row>
    <row r="143" spans="1:27" x14ac:dyDescent="0.2">
      <c r="A143" t="s">
        <v>782</v>
      </c>
      <c r="B143">
        <v>142</v>
      </c>
      <c r="C143">
        <v>1</v>
      </c>
      <c r="D143" t="s">
        <v>303</v>
      </c>
      <c r="E143" t="s">
        <v>1012</v>
      </c>
      <c r="F143" t="s">
        <v>1043</v>
      </c>
      <c r="G143">
        <v>61</v>
      </c>
      <c r="H143" t="s">
        <v>323</v>
      </c>
      <c r="I143">
        <v>74</v>
      </c>
      <c r="J143" t="s">
        <v>324</v>
      </c>
      <c r="Q143" t="s">
        <v>328</v>
      </c>
      <c r="R143">
        <v>40</v>
      </c>
      <c r="S143" t="s">
        <v>86</v>
      </c>
      <c r="T143" t="str">
        <f t="shared" si="3"/>
        <v>40mg</v>
      </c>
      <c r="U143">
        <v>240</v>
      </c>
      <c r="V143" t="s">
        <v>86</v>
      </c>
      <c r="W143" t="str">
        <f t="shared" si="2"/>
        <v>240mg</v>
      </c>
      <c r="X143" t="s">
        <v>86</v>
      </c>
      <c r="Y143" t="s">
        <v>86</v>
      </c>
      <c r="Z143" t="s">
        <v>86</v>
      </c>
      <c r="AA143" t="s">
        <v>794</v>
      </c>
    </row>
    <row r="144" spans="1:27" x14ac:dyDescent="0.2">
      <c r="A144" t="s">
        <v>782</v>
      </c>
      <c r="B144">
        <v>143</v>
      </c>
      <c r="C144">
        <v>1</v>
      </c>
      <c r="D144" t="s">
        <v>303</v>
      </c>
      <c r="E144" t="s">
        <v>1012</v>
      </c>
      <c r="F144" t="s">
        <v>1044</v>
      </c>
      <c r="G144">
        <v>61</v>
      </c>
      <c r="H144" t="s">
        <v>323</v>
      </c>
      <c r="I144">
        <v>74</v>
      </c>
      <c r="J144" t="s">
        <v>324</v>
      </c>
      <c r="Q144" t="s">
        <v>328</v>
      </c>
      <c r="R144">
        <v>40</v>
      </c>
      <c r="S144" t="s">
        <v>86</v>
      </c>
      <c r="T144" t="str">
        <f t="shared" si="3"/>
        <v>40mg</v>
      </c>
      <c r="U144">
        <v>240</v>
      </c>
      <c r="V144" t="s">
        <v>86</v>
      </c>
      <c r="W144" t="str">
        <f t="shared" si="2"/>
        <v>240mg</v>
      </c>
      <c r="X144" t="s">
        <v>86</v>
      </c>
      <c r="Y144" t="s">
        <v>86</v>
      </c>
      <c r="Z144" t="s">
        <v>86</v>
      </c>
      <c r="AA144" t="s">
        <v>794</v>
      </c>
    </row>
    <row r="145" spans="1:27" x14ac:dyDescent="0.2">
      <c r="A145" t="s">
        <v>782</v>
      </c>
      <c r="B145">
        <v>144</v>
      </c>
      <c r="C145">
        <v>1</v>
      </c>
      <c r="D145" t="s">
        <v>303</v>
      </c>
      <c r="E145" t="s">
        <v>1012</v>
      </c>
      <c r="F145" t="s">
        <v>1045</v>
      </c>
      <c r="G145">
        <v>61</v>
      </c>
      <c r="H145" t="s">
        <v>323</v>
      </c>
      <c r="I145">
        <v>74</v>
      </c>
      <c r="J145" t="s">
        <v>324</v>
      </c>
      <c r="Q145" t="s">
        <v>328</v>
      </c>
      <c r="R145">
        <v>60</v>
      </c>
      <c r="S145" t="s">
        <v>86</v>
      </c>
      <c r="T145" t="str">
        <f t="shared" si="3"/>
        <v>60mg</v>
      </c>
      <c r="U145">
        <v>360</v>
      </c>
      <c r="V145" t="s">
        <v>86</v>
      </c>
      <c r="W145" t="str">
        <f t="shared" si="2"/>
        <v>360mg</v>
      </c>
      <c r="X145" t="s">
        <v>86</v>
      </c>
      <c r="Y145" t="s">
        <v>86</v>
      </c>
      <c r="Z145" t="s">
        <v>86</v>
      </c>
      <c r="AA145" t="s">
        <v>794</v>
      </c>
    </row>
    <row r="146" spans="1:27" x14ac:dyDescent="0.2">
      <c r="A146" t="s">
        <v>782</v>
      </c>
      <c r="B146">
        <v>145</v>
      </c>
      <c r="C146">
        <v>1</v>
      </c>
      <c r="D146" t="s">
        <v>303</v>
      </c>
      <c r="E146" t="s">
        <v>1012</v>
      </c>
      <c r="F146" t="s">
        <v>1046</v>
      </c>
      <c r="G146">
        <v>61</v>
      </c>
      <c r="H146" t="s">
        <v>323</v>
      </c>
      <c r="I146">
        <v>74</v>
      </c>
      <c r="J146" t="s">
        <v>324</v>
      </c>
      <c r="Q146" t="s">
        <v>328</v>
      </c>
      <c r="R146">
        <v>80</v>
      </c>
      <c r="S146" t="s">
        <v>86</v>
      </c>
      <c r="T146" t="str">
        <f t="shared" si="3"/>
        <v>80mg</v>
      </c>
      <c r="U146">
        <v>480</v>
      </c>
      <c r="V146" t="s">
        <v>86</v>
      </c>
      <c r="W146" t="str">
        <f t="shared" si="2"/>
        <v>480mg</v>
      </c>
      <c r="X146" t="s">
        <v>86</v>
      </c>
      <c r="Y146" t="s">
        <v>86</v>
      </c>
      <c r="Z146" t="s">
        <v>86</v>
      </c>
      <c r="AA146" t="s">
        <v>794</v>
      </c>
    </row>
    <row r="147" spans="1:27" x14ac:dyDescent="0.2">
      <c r="A147" t="s">
        <v>782</v>
      </c>
      <c r="B147">
        <v>146</v>
      </c>
      <c r="C147">
        <v>1</v>
      </c>
      <c r="D147" t="s">
        <v>303</v>
      </c>
      <c r="E147" t="s">
        <v>1012</v>
      </c>
      <c r="F147" t="s">
        <v>1047</v>
      </c>
      <c r="G147">
        <v>61</v>
      </c>
      <c r="H147" t="s">
        <v>323</v>
      </c>
      <c r="I147">
        <v>74</v>
      </c>
      <c r="J147" t="s">
        <v>324</v>
      </c>
      <c r="Q147" t="s">
        <v>1048</v>
      </c>
      <c r="R147">
        <v>20</v>
      </c>
      <c r="S147" t="s">
        <v>86</v>
      </c>
      <c r="T147" t="str">
        <f t="shared" si="3"/>
        <v>20mg</v>
      </c>
      <c r="U147">
        <v>120</v>
      </c>
      <c r="V147" t="s">
        <v>86</v>
      </c>
      <c r="W147" t="str">
        <f t="shared" si="2"/>
        <v>120mg</v>
      </c>
      <c r="X147" t="s">
        <v>86</v>
      </c>
      <c r="Y147" t="s">
        <v>86</v>
      </c>
      <c r="Z147" t="s">
        <v>86</v>
      </c>
      <c r="AA147" t="s">
        <v>794</v>
      </c>
    </row>
    <row r="148" spans="1:27" x14ac:dyDescent="0.2">
      <c r="A148" t="s">
        <v>782</v>
      </c>
      <c r="B148">
        <v>147</v>
      </c>
      <c r="C148">
        <v>1</v>
      </c>
      <c r="D148" t="s">
        <v>303</v>
      </c>
      <c r="E148" t="s">
        <v>1012</v>
      </c>
      <c r="F148" t="s">
        <v>1049</v>
      </c>
      <c r="G148">
        <v>61</v>
      </c>
      <c r="H148" t="s">
        <v>323</v>
      </c>
      <c r="I148">
        <v>74</v>
      </c>
      <c r="J148" t="s">
        <v>324</v>
      </c>
      <c r="Q148" t="s">
        <v>538</v>
      </c>
      <c r="R148">
        <v>20</v>
      </c>
      <c r="S148" t="s">
        <v>86</v>
      </c>
      <c r="T148" t="str">
        <f t="shared" si="3"/>
        <v>20mg</v>
      </c>
      <c r="U148">
        <v>120</v>
      </c>
      <c r="V148" t="s">
        <v>86</v>
      </c>
      <c r="W148" t="str">
        <f t="shared" si="2"/>
        <v>120mg</v>
      </c>
      <c r="X148" t="s">
        <v>86</v>
      </c>
      <c r="Y148" t="s">
        <v>86</v>
      </c>
      <c r="Z148" t="s">
        <v>86</v>
      </c>
      <c r="AA148" t="s">
        <v>794</v>
      </c>
    </row>
    <row r="149" spans="1:27" x14ac:dyDescent="0.2">
      <c r="A149" t="s">
        <v>782</v>
      </c>
      <c r="B149">
        <v>148</v>
      </c>
      <c r="C149">
        <v>1</v>
      </c>
      <c r="D149" t="s">
        <v>303</v>
      </c>
      <c r="E149" t="s">
        <v>1012</v>
      </c>
      <c r="F149" t="s">
        <v>1050</v>
      </c>
      <c r="G149">
        <v>61</v>
      </c>
      <c r="H149" t="s">
        <v>323</v>
      </c>
      <c r="I149">
        <v>74</v>
      </c>
      <c r="J149" t="s">
        <v>324</v>
      </c>
      <c r="Q149" t="s">
        <v>538</v>
      </c>
      <c r="R149">
        <v>20</v>
      </c>
      <c r="S149" t="s">
        <v>86</v>
      </c>
      <c r="T149" t="str">
        <f t="shared" si="3"/>
        <v>20mg</v>
      </c>
      <c r="U149">
        <v>120</v>
      </c>
      <c r="V149" t="s">
        <v>86</v>
      </c>
      <c r="W149" t="str">
        <f t="shared" si="2"/>
        <v>120mg</v>
      </c>
      <c r="X149" t="s">
        <v>86</v>
      </c>
      <c r="Y149" t="s">
        <v>86</v>
      </c>
      <c r="Z149" t="s">
        <v>86</v>
      </c>
      <c r="AA149" t="s">
        <v>794</v>
      </c>
    </row>
    <row r="150" spans="1:27" x14ac:dyDescent="0.2">
      <c r="A150" t="s">
        <v>782</v>
      </c>
      <c r="B150">
        <v>149</v>
      </c>
      <c r="C150">
        <v>1</v>
      </c>
      <c r="D150" t="s">
        <v>303</v>
      </c>
      <c r="E150" t="s">
        <v>1012</v>
      </c>
      <c r="F150" t="s">
        <v>1051</v>
      </c>
      <c r="G150">
        <v>61</v>
      </c>
      <c r="H150" t="s">
        <v>323</v>
      </c>
      <c r="I150">
        <v>74</v>
      </c>
      <c r="J150" t="s">
        <v>324</v>
      </c>
      <c r="Q150" t="s">
        <v>807</v>
      </c>
      <c r="R150">
        <v>20</v>
      </c>
      <c r="S150" t="s">
        <v>86</v>
      </c>
      <c r="T150" t="str">
        <f t="shared" si="3"/>
        <v>20mg</v>
      </c>
      <c r="U150">
        <v>120</v>
      </c>
      <c r="V150" t="s">
        <v>86</v>
      </c>
      <c r="W150" t="str">
        <f t="shared" si="2"/>
        <v>120mg</v>
      </c>
      <c r="X150" t="s">
        <v>86</v>
      </c>
      <c r="Y150" t="s">
        <v>86</v>
      </c>
      <c r="Z150" t="s">
        <v>86</v>
      </c>
      <c r="AA150" t="s">
        <v>794</v>
      </c>
    </row>
    <row r="151" spans="1:27" x14ac:dyDescent="0.2">
      <c r="A151" t="s">
        <v>782</v>
      </c>
      <c r="B151">
        <v>150</v>
      </c>
      <c r="C151">
        <v>1</v>
      </c>
      <c r="D151" t="s">
        <v>303</v>
      </c>
      <c r="E151" t="s">
        <v>1012</v>
      </c>
      <c r="F151" t="s">
        <v>1052</v>
      </c>
      <c r="G151">
        <v>62</v>
      </c>
      <c r="H151" t="s">
        <v>1026</v>
      </c>
      <c r="I151">
        <v>77</v>
      </c>
      <c r="J151" t="s">
        <v>362</v>
      </c>
      <c r="Q151" t="s">
        <v>1053</v>
      </c>
      <c r="R151">
        <v>62.5</v>
      </c>
      <c r="S151" t="s">
        <v>86</v>
      </c>
      <c r="T151" t="str">
        <f t="shared" si="3"/>
        <v>62.5mg</v>
      </c>
      <c r="U151">
        <v>375</v>
      </c>
      <c r="V151" t="s">
        <v>86</v>
      </c>
      <c r="W151" t="str">
        <f t="shared" si="2"/>
        <v>375mg</v>
      </c>
      <c r="X151" t="s">
        <v>86</v>
      </c>
      <c r="Y151" t="s">
        <v>86</v>
      </c>
      <c r="Z151" t="s">
        <v>86</v>
      </c>
      <c r="AA151" t="s">
        <v>1054</v>
      </c>
    </row>
    <row r="152" spans="1:27" x14ac:dyDescent="0.2">
      <c r="A152" t="s">
        <v>782</v>
      </c>
      <c r="B152">
        <v>151</v>
      </c>
      <c r="C152">
        <v>1</v>
      </c>
      <c r="D152" t="s">
        <v>303</v>
      </c>
      <c r="E152" t="s">
        <v>1012</v>
      </c>
      <c r="F152" t="s">
        <v>1055</v>
      </c>
      <c r="G152">
        <v>65</v>
      </c>
      <c r="H152" t="s">
        <v>418</v>
      </c>
      <c r="I152">
        <v>75</v>
      </c>
      <c r="J152" t="s">
        <v>1056</v>
      </c>
      <c r="Q152" t="s">
        <v>1057</v>
      </c>
      <c r="R152">
        <v>100</v>
      </c>
      <c r="S152" t="s">
        <v>86</v>
      </c>
      <c r="T152" t="str">
        <f t="shared" si="3"/>
        <v>100mg</v>
      </c>
      <c r="U152">
        <v>125</v>
      </c>
      <c r="V152" t="s">
        <v>86</v>
      </c>
      <c r="W152" t="str">
        <f t="shared" si="2"/>
        <v>125mg</v>
      </c>
      <c r="X152" t="s">
        <v>86</v>
      </c>
      <c r="Y152" t="s">
        <v>86</v>
      </c>
      <c r="Z152" t="s">
        <v>86</v>
      </c>
      <c r="AA152" t="s">
        <v>1058</v>
      </c>
    </row>
    <row r="153" spans="1:27" x14ac:dyDescent="0.2">
      <c r="A153" t="s">
        <v>782</v>
      </c>
      <c r="B153">
        <v>152</v>
      </c>
      <c r="C153">
        <v>3</v>
      </c>
      <c r="D153" t="s">
        <v>706</v>
      </c>
      <c r="E153" t="s">
        <v>1012</v>
      </c>
      <c r="F153" t="s">
        <v>1059</v>
      </c>
      <c r="G153">
        <v>65</v>
      </c>
      <c r="H153" t="s">
        <v>418</v>
      </c>
      <c r="I153">
        <v>75</v>
      </c>
      <c r="J153" t="s">
        <v>1056</v>
      </c>
      <c r="Q153" t="s">
        <v>1057</v>
      </c>
      <c r="R153">
        <v>50</v>
      </c>
      <c r="S153" t="s">
        <v>86</v>
      </c>
      <c r="T153" t="str">
        <f t="shared" si="3"/>
        <v>50mg</v>
      </c>
      <c r="U153">
        <v>125</v>
      </c>
      <c r="V153" t="s">
        <v>86</v>
      </c>
      <c r="W153" t="str">
        <f t="shared" si="2"/>
        <v>125mg</v>
      </c>
      <c r="X153" t="s">
        <v>86</v>
      </c>
      <c r="Y153" t="s">
        <v>86</v>
      </c>
      <c r="Z153" t="s">
        <v>86</v>
      </c>
      <c r="AA153" t="s">
        <v>1058</v>
      </c>
    </row>
    <row r="154" spans="1:27" x14ac:dyDescent="0.2">
      <c r="A154" t="s">
        <v>782</v>
      </c>
      <c r="B154">
        <v>153</v>
      </c>
      <c r="C154">
        <v>1</v>
      </c>
      <c r="D154" t="s">
        <v>303</v>
      </c>
      <c r="E154" t="s">
        <v>1012</v>
      </c>
      <c r="F154" t="s">
        <v>1060</v>
      </c>
      <c r="G154">
        <v>65</v>
      </c>
      <c r="H154" t="s">
        <v>418</v>
      </c>
      <c r="I154">
        <v>75</v>
      </c>
      <c r="J154" t="s">
        <v>1056</v>
      </c>
      <c r="Q154" t="s">
        <v>1057</v>
      </c>
      <c r="R154">
        <v>200</v>
      </c>
      <c r="S154" t="s">
        <v>86</v>
      </c>
      <c r="T154" t="str">
        <f t="shared" si="3"/>
        <v>200mg</v>
      </c>
      <c r="U154">
        <v>250</v>
      </c>
      <c r="V154" t="s">
        <v>86</v>
      </c>
      <c r="W154" t="str">
        <f t="shared" si="2"/>
        <v>250mg</v>
      </c>
      <c r="X154" t="s">
        <v>86</v>
      </c>
      <c r="Y154" t="s">
        <v>86</v>
      </c>
      <c r="Z154" t="s">
        <v>86</v>
      </c>
      <c r="AA154" t="s">
        <v>1058</v>
      </c>
    </row>
    <row r="155" spans="1:27" x14ac:dyDescent="0.2">
      <c r="A155" t="s">
        <v>782</v>
      </c>
      <c r="B155">
        <v>154</v>
      </c>
      <c r="C155">
        <v>2</v>
      </c>
      <c r="D155" t="s">
        <v>1017</v>
      </c>
      <c r="E155" t="s">
        <v>1012</v>
      </c>
      <c r="F155" t="s">
        <v>1061</v>
      </c>
      <c r="G155">
        <v>61</v>
      </c>
      <c r="H155" t="s">
        <v>323</v>
      </c>
      <c r="Q155" t="s">
        <v>813</v>
      </c>
      <c r="R155">
        <v>40</v>
      </c>
      <c r="S155" t="s">
        <v>86</v>
      </c>
      <c r="T155" t="str">
        <f t="shared" si="3"/>
        <v>40mg</v>
      </c>
      <c r="U155" t="s">
        <v>86</v>
      </c>
      <c r="V155" t="s">
        <v>86</v>
      </c>
      <c r="W155" t="str">
        <f t="shared" si="2"/>
        <v>.</v>
      </c>
      <c r="X155" t="s">
        <v>86</v>
      </c>
      <c r="Y155" t="s">
        <v>86</v>
      </c>
      <c r="Z155" t="s">
        <v>86</v>
      </c>
      <c r="AA155" t="s">
        <v>799</v>
      </c>
    </row>
    <row r="156" spans="1:27" x14ac:dyDescent="0.2">
      <c r="A156" t="s">
        <v>782</v>
      </c>
      <c r="B156">
        <v>155</v>
      </c>
      <c r="C156">
        <v>1</v>
      </c>
      <c r="D156" t="s">
        <v>303</v>
      </c>
      <c r="E156" t="s">
        <v>1012</v>
      </c>
      <c r="F156" t="s">
        <v>1062</v>
      </c>
      <c r="G156">
        <v>65</v>
      </c>
      <c r="H156" t="s">
        <v>418</v>
      </c>
      <c r="I156">
        <v>60</v>
      </c>
      <c r="J156" t="s">
        <v>404</v>
      </c>
      <c r="Q156" t="s">
        <v>1048</v>
      </c>
      <c r="R156">
        <v>25</v>
      </c>
      <c r="S156" t="s">
        <v>86</v>
      </c>
      <c r="T156" t="str">
        <f t="shared" si="3"/>
        <v>25mg</v>
      </c>
      <c r="U156">
        <v>67.5</v>
      </c>
      <c r="V156" t="s">
        <v>86</v>
      </c>
      <c r="W156" t="str">
        <f t="shared" si="2"/>
        <v>67.5mg</v>
      </c>
      <c r="X156" t="s">
        <v>86</v>
      </c>
      <c r="Y156" t="s">
        <v>86</v>
      </c>
      <c r="Z156" t="s">
        <v>86</v>
      </c>
      <c r="AA156" t="s">
        <v>858</v>
      </c>
    </row>
    <row r="157" spans="1:27" x14ac:dyDescent="0.2">
      <c r="A157" t="s">
        <v>782</v>
      </c>
      <c r="B157">
        <v>156</v>
      </c>
      <c r="C157">
        <v>1</v>
      </c>
      <c r="D157" t="s">
        <v>303</v>
      </c>
      <c r="E157" t="s">
        <v>1012</v>
      </c>
      <c r="F157" t="s">
        <v>1063</v>
      </c>
      <c r="G157">
        <v>65</v>
      </c>
      <c r="H157" t="s">
        <v>418</v>
      </c>
      <c r="I157">
        <v>60</v>
      </c>
      <c r="J157" t="s">
        <v>404</v>
      </c>
      <c r="Q157" t="s">
        <v>538</v>
      </c>
      <c r="R157">
        <v>100</v>
      </c>
      <c r="S157" t="s">
        <v>86</v>
      </c>
      <c r="T157" t="str">
        <f t="shared" si="3"/>
        <v>100mg</v>
      </c>
      <c r="U157">
        <v>270</v>
      </c>
      <c r="V157" t="s">
        <v>86</v>
      </c>
      <c r="W157" t="str">
        <f t="shared" si="2"/>
        <v>270mg</v>
      </c>
      <c r="X157" t="s">
        <v>86</v>
      </c>
      <c r="Y157" t="s">
        <v>86</v>
      </c>
      <c r="Z157" t="s">
        <v>86</v>
      </c>
      <c r="AA157" t="s">
        <v>858</v>
      </c>
    </row>
    <row r="158" spans="1:27" x14ac:dyDescent="0.2">
      <c r="A158" t="s">
        <v>782</v>
      </c>
      <c r="B158">
        <v>157</v>
      </c>
      <c r="C158">
        <v>1</v>
      </c>
      <c r="D158" t="s">
        <v>303</v>
      </c>
      <c r="E158" t="s">
        <v>1012</v>
      </c>
      <c r="F158" t="s">
        <v>1064</v>
      </c>
      <c r="G158">
        <v>61</v>
      </c>
      <c r="H158" t="s">
        <v>323</v>
      </c>
      <c r="I158">
        <v>74</v>
      </c>
      <c r="J158" t="s">
        <v>324</v>
      </c>
      <c r="Q158" t="s">
        <v>816</v>
      </c>
      <c r="R158">
        <v>40</v>
      </c>
      <c r="S158" t="s">
        <v>86</v>
      </c>
      <c r="T158" t="str">
        <f t="shared" si="3"/>
        <v>40mg</v>
      </c>
      <c r="U158">
        <v>240</v>
      </c>
      <c r="V158" t="s">
        <v>86</v>
      </c>
      <c r="W158" t="str">
        <f t="shared" si="2"/>
        <v>240mg</v>
      </c>
      <c r="X158" t="s">
        <v>86</v>
      </c>
      <c r="Y158" t="s">
        <v>86</v>
      </c>
      <c r="Z158" t="s">
        <v>86</v>
      </c>
      <c r="AA158" t="s">
        <v>794</v>
      </c>
    </row>
    <row r="159" spans="1:27" x14ac:dyDescent="0.2">
      <c r="A159" t="s">
        <v>782</v>
      </c>
      <c r="B159">
        <v>158</v>
      </c>
      <c r="C159">
        <v>1</v>
      </c>
      <c r="D159" t="s">
        <v>303</v>
      </c>
      <c r="E159" t="s">
        <v>1012</v>
      </c>
      <c r="F159" t="s">
        <v>1065</v>
      </c>
      <c r="G159">
        <v>61</v>
      </c>
      <c r="H159" t="s">
        <v>323</v>
      </c>
      <c r="I159">
        <v>74</v>
      </c>
      <c r="J159" t="s">
        <v>324</v>
      </c>
      <c r="Q159" t="s">
        <v>816</v>
      </c>
      <c r="R159">
        <v>80</v>
      </c>
      <c r="S159" t="s">
        <v>86</v>
      </c>
      <c r="T159" t="str">
        <f t="shared" si="3"/>
        <v>80mg</v>
      </c>
      <c r="U159">
        <v>480</v>
      </c>
      <c r="V159" t="s">
        <v>86</v>
      </c>
      <c r="W159" t="str">
        <f t="shared" si="2"/>
        <v>480mg</v>
      </c>
      <c r="X159" t="s">
        <v>86</v>
      </c>
      <c r="Y159" t="s">
        <v>86</v>
      </c>
      <c r="Z159" t="s">
        <v>86</v>
      </c>
      <c r="AA159" t="s">
        <v>794</v>
      </c>
    </row>
    <row r="160" spans="1:27" x14ac:dyDescent="0.2">
      <c r="A160" t="s">
        <v>782</v>
      </c>
      <c r="B160">
        <v>159</v>
      </c>
      <c r="C160">
        <v>1</v>
      </c>
      <c r="D160" t="s">
        <v>303</v>
      </c>
      <c r="E160" t="s">
        <v>1012</v>
      </c>
      <c r="F160" t="s">
        <v>1066</v>
      </c>
      <c r="G160">
        <v>61</v>
      </c>
      <c r="H160" t="s">
        <v>323</v>
      </c>
      <c r="I160">
        <v>74</v>
      </c>
      <c r="J160" t="s">
        <v>324</v>
      </c>
      <c r="Q160" t="s">
        <v>910</v>
      </c>
      <c r="R160">
        <v>80</v>
      </c>
      <c r="S160" t="s">
        <v>86</v>
      </c>
      <c r="T160" t="str">
        <f t="shared" si="3"/>
        <v>80mg</v>
      </c>
      <c r="U160">
        <v>480</v>
      </c>
      <c r="V160" t="s">
        <v>86</v>
      </c>
      <c r="W160" t="str">
        <f t="shared" si="2"/>
        <v>480mg</v>
      </c>
      <c r="X160" t="s">
        <v>86</v>
      </c>
      <c r="Y160" t="s">
        <v>86</v>
      </c>
      <c r="Z160" t="s">
        <v>86</v>
      </c>
      <c r="AA160" t="s">
        <v>794</v>
      </c>
    </row>
    <row r="161" spans="1:27" x14ac:dyDescent="0.2">
      <c r="A161" t="s">
        <v>782</v>
      </c>
      <c r="B161">
        <v>160</v>
      </c>
      <c r="C161">
        <v>1</v>
      </c>
      <c r="D161" t="s">
        <v>303</v>
      </c>
      <c r="E161" t="s">
        <v>1012</v>
      </c>
      <c r="F161" t="s">
        <v>949</v>
      </c>
      <c r="G161">
        <v>61</v>
      </c>
      <c r="H161" t="s">
        <v>323</v>
      </c>
      <c r="I161">
        <v>74</v>
      </c>
      <c r="J161" t="s">
        <v>324</v>
      </c>
      <c r="Q161" t="s">
        <v>1067</v>
      </c>
      <c r="R161">
        <v>40</v>
      </c>
      <c r="S161" t="s">
        <v>86</v>
      </c>
      <c r="T161" t="str">
        <f t="shared" si="3"/>
        <v>40mg</v>
      </c>
      <c r="U161">
        <v>240</v>
      </c>
      <c r="V161" t="s">
        <v>86</v>
      </c>
      <c r="W161" t="str">
        <f t="shared" si="2"/>
        <v>240mg</v>
      </c>
      <c r="X161" t="s">
        <v>86</v>
      </c>
      <c r="Y161" t="s">
        <v>86</v>
      </c>
      <c r="Z161" t="s">
        <v>86</v>
      </c>
      <c r="AA161" t="s">
        <v>794</v>
      </c>
    </row>
    <row r="162" spans="1:27" x14ac:dyDescent="0.2">
      <c r="A162" t="s">
        <v>782</v>
      </c>
      <c r="B162">
        <v>161</v>
      </c>
      <c r="C162">
        <v>1</v>
      </c>
      <c r="D162" t="s">
        <v>303</v>
      </c>
      <c r="E162" t="s">
        <v>1012</v>
      </c>
      <c r="F162" t="s">
        <v>1068</v>
      </c>
      <c r="G162">
        <v>61</v>
      </c>
      <c r="H162" t="s">
        <v>323</v>
      </c>
      <c r="I162">
        <v>74</v>
      </c>
      <c r="J162" t="s">
        <v>324</v>
      </c>
      <c r="Q162" t="s">
        <v>1069</v>
      </c>
      <c r="R162">
        <v>20</v>
      </c>
      <c r="S162" t="s">
        <v>86</v>
      </c>
      <c r="T162" t="str">
        <f t="shared" si="3"/>
        <v>20mg</v>
      </c>
      <c r="U162">
        <v>120</v>
      </c>
      <c r="V162" t="s">
        <v>86</v>
      </c>
      <c r="W162" t="str">
        <f t="shared" si="2"/>
        <v>120mg</v>
      </c>
      <c r="X162" t="s">
        <v>86</v>
      </c>
      <c r="Y162" t="s">
        <v>86</v>
      </c>
      <c r="Z162" t="s">
        <v>86</v>
      </c>
      <c r="AA162" t="s">
        <v>794</v>
      </c>
    </row>
    <row r="163" spans="1:27" x14ac:dyDescent="0.2">
      <c r="A163" t="s">
        <v>782</v>
      </c>
      <c r="B163">
        <v>162</v>
      </c>
      <c r="C163">
        <v>1</v>
      </c>
      <c r="D163" t="s">
        <v>303</v>
      </c>
      <c r="E163" t="s">
        <v>1012</v>
      </c>
      <c r="F163" t="s">
        <v>1070</v>
      </c>
      <c r="G163">
        <v>61</v>
      </c>
      <c r="H163" t="s">
        <v>323</v>
      </c>
      <c r="I163">
        <v>74</v>
      </c>
      <c r="J163" t="s">
        <v>324</v>
      </c>
      <c r="Q163" t="s">
        <v>1071</v>
      </c>
      <c r="R163">
        <v>20</v>
      </c>
      <c r="S163" t="s">
        <v>86</v>
      </c>
      <c r="T163" t="str">
        <f t="shared" si="3"/>
        <v>20mg</v>
      </c>
      <c r="U163">
        <v>120</v>
      </c>
      <c r="V163" t="s">
        <v>86</v>
      </c>
      <c r="W163" t="str">
        <f t="shared" si="2"/>
        <v>120mg</v>
      </c>
      <c r="X163" t="s">
        <v>86</v>
      </c>
      <c r="Y163" t="s">
        <v>86</v>
      </c>
      <c r="Z163" t="s">
        <v>86</v>
      </c>
      <c r="AA163" t="s">
        <v>794</v>
      </c>
    </row>
    <row r="164" spans="1:27" x14ac:dyDescent="0.2">
      <c r="A164" t="s">
        <v>782</v>
      </c>
      <c r="B164">
        <v>163</v>
      </c>
      <c r="C164">
        <v>1</v>
      </c>
      <c r="D164" t="s">
        <v>303</v>
      </c>
      <c r="E164" t="s">
        <v>1012</v>
      </c>
      <c r="F164" t="s">
        <v>1072</v>
      </c>
      <c r="G164">
        <v>61</v>
      </c>
      <c r="H164" t="s">
        <v>323</v>
      </c>
      <c r="I164">
        <v>74</v>
      </c>
      <c r="J164" t="s">
        <v>324</v>
      </c>
      <c r="Q164" t="s">
        <v>1071</v>
      </c>
      <c r="R164">
        <v>40</v>
      </c>
      <c r="S164" t="s">
        <v>86</v>
      </c>
      <c r="T164" t="str">
        <f t="shared" si="3"/>
        <v>40mg</v>
      </c>
      <c r="U164">
        <v>240</v>
      </c>
      <c r="V164" t="s">
        <v>86</v>
      </c>
      <c r="W164" t="str">
        <f t="shared" si="2"/>
        <v>240mg</v>
      </c>
      <c r="X164" t="s">
        <v>86</v>
      </c>
      <c r="Y164" t="s">
        <v>86</v>
      </c>
      <c r="Z164" t="s">
        <v>86</v>
      </c>
      <c r="AA164" t="s">
        <v>794</v>
      </c>
    </row>
    <row r="165" spans="1:27" x14ac:dyDescent="0.2">
      <c r="A165" t="s">
        <v>782</v>
      </c>
      <c r="B165">
        <v>164</v>
      </c>
      <c r="C165">
        <v>1</v>
      </c>
      <c r="D165" t="s">
        <v>303</v>
      </c>
      <c r="E165" t="s">
        <v>1012</v>
      </c>
      <c r="F165" t="s">
        <v>1073</v>
      </c>
      <c r="G165">
        <v>61</v>
      </c>
      <c r="H165" t="s">
        <v>323</v>
      </c>
      <c r="I165">
        <v>74</v>
      </c>
      <c r="J165" t="s">
        <v>324</v>
      </c>
      <c r="Q165" t="s">
        <v>1071</v>
      </c>
      <c r="R165">
        <v>80</v>
      </c>
      <c r="S165" t="s">
        <v>86</v>
      </c>
      <c r="T165" t="str">
        <f t="shared" si="3"/>
        <v>80mg</v>
      </c>
      <c r="U165">
        <v>480</v>
      </c>
      <c r="V165" t="s">
        <v>86</v>
      </c>
      <c r="W165" t="str">
        <f t="shared" si="2"/>
        <v>480mg</v>
      </c>
      <c r="X165" t="s">
        <v>86</v>
      </c>
      <c r="Y165" t="s">
        <v>86</v>
      </c>
      <c r="Z165" t="s">
        <v>86</v>
      </c>
      <c r="AA165" t="s">
        <v>794</v>
      </c>
    </row>
    <row r="166" spans="1:27" x14ac:dyDescent="0.2">
      <c r="A166" t="s">
        <v>782</v>
      </c>
      <c r="B166">
        <v>165</v>
      </c>
      <c r="C166">
        <v>1</v>
      </c>
      <c r="D166" t="s">
        <v>303</v>
      </c>
      <c r="E166" t="s">
        <v>1012</v>
      </c>
      <c r="F166" t="s">
        <v>1074</v>
      </c>
      <c r="G166">
        <v>65</v>
      </c>
      <c r="H166" t="s">
        <v>418</v>
      </c>
      <c r="I166">
        <v>60</v>
      </c>
      <c r="J166" t="s">
        <v>404</v>
      </c>
      <c r="Q166" t="s">
        <v>1019</v>
      </c>
      <c r="R166">
        <v>100</v>
      </c>
      <c r="S166" t="s">
        <v>86</v>
      </c>
      <c r="T166" t="str">
        <f t="shared" si="3"/>
        <v>100mg</v>
      </c>
      <c r="U166">
        <v>270</v>
      </c>
      <c r="V166" t="s">
        <v>86</v>
      </c>
      <c r="W166" t="str">
        <f t="shared" si="2"/>
        <v>270mg</v>
      </c>
      <c r="X166" t="s">
        <v>86</v>
      </c>
      <c r="Y166" t="s">
        <v>86</v>
      </c>
      <c r="Z166" t="s">
        <v>86</v>
      </c>
      <c r="AA166" t="s">
        <v>858</v>
      </c>
    </row>
    <row r="167" spans="1:27" x14ac:dyDescent="0.2">
      <c r="A167" t="s">
        <v>782</v>
      </c>
      <c r="B167">
        <v>166</v>
      </c>
      <c r="C167">
        <v>1</v>
      </c>
      <c r="D167" t="s">
        <v>303</v>
      </c>
      <c r="E167" t="s">
        <v>1012</v>
      </c>
      <c r="F167" t="s">
        <v>1075</v>
      </c>
      <c r="G167">
        <v>65</v>
      </c>
      <c r="H167" t="s">
        <v>418</v>
      </c>
      <c r="I167">
        <v>60</v>
      </c>
      <c r="J167" t="s">
        <v>404</v>
      </c>
      <c r="Q167" t="s">
        <v>901</v>
      </c>
      <c r="R167">
        <v>100</v>
      </c>
      <c r="S167" t="s">
        <v>86</v>
      </c>
      <c r="T167" t="str">
        <f t="shared" si="3"/>
        <v>100mg</v>
      </c>
      <c r="U167">
        <v>270</v>
      </c>
      <c r="V167" t="s">
        <v>86</v>
      </c>
      <c r="W167" t="str">
        <f t="shared" si="2"/>
        <v>270mg</v>
      </c>
      <c r="X167" t="s">
        <v>86</v>
      </c>
      <c r="Y167" t="s">
        <v>86</v>
      </c>
      <c r="Z167" t="s">
        <v>86</v>
      </c>
      <c r="AA167" t="s">
        <v>858</v>
      </c>
    </row>
    <row r="168" spans="1:27" x14ac:dyDescent="0.2">
      <c r="A168" t="s">
        <v>782</v>
      </c>
      <c r="B168">
        <v>167</v>
      </c>
      <c r="C168">
        <v>1</v>
      </c>
      <c r="D168" t="s">
        <v>303</v>
      </c>
      <c r="E168" t="s">
        <v>1012</v>
      </c>
      <c r="F168" t="s">
        <v>1076</v>
      </c>
      <c r="G168">
        <v>65</v>
      </c>
      <c r="H168" t="s">
        <v>418</v>
      </c>
      <c r="I168">
        <v>60</v>
      </c>
      <c r="J168" t="s">
        <v>404</v>
      </c>
      <c r="Q168" t="s">
        <v>901</v>
      </c>
      <c r="R168">
        <v>100</v>
      </c>
      <c r="S168" t="s">
        <v>86</v>
      </c>
      <c r="T168" t="str">
        <f t="shared" si="3"/>
        <v>100mg</v>
      </c>
      <c r="U168">
        <v>270</v>
      </c>
      <c r="V168" t="s">
        <v>86</v>
      </c>
      <c r="W168" t="str">
        <f t="shared" si="2"/>
        <v>270mg</v>
      </c>
      <c r="X168" t="s">
        <v>86</v>
      </c>
      <c r="Y168" t="s">
        <v>86</v>
      </c>
      <c r="Z168" t="s">
        <v>86</v>
      </c>
      <c r="AA168" t="s">
        <v>858</v>
      </c>
    </row>
    <row r="169" spans="1:27" x14ac:dyDescent="0.2">
      <c r="A169" t="s">
        <v>782</v>
      </c>
      <c r="B169">
        <v>168</v>
      </c>
      <c r="C169">
        <v>1</v>
      </c>
      <c r="D169" t="s">
        <v>303</v>
      </c>
      <c r="E169" t="s">
        <v>1012</v>
      </c>
      <c r="F169" t="s">
        <v>1077</v>
      </c>
      <c r="G169">
        <v>65</v>
      </c>
      <c r="H169" t="s">
        <v>418</v>
      </c>
      <c r="I169">
        <v>60</v>
      </c>
      <c r="J169" t="s">
        <v>404</v>
      </c>
      <c r="Q169" t="s">
        <v>901</v>
      </c>
      <c r="R169">
        <v>25</v>
      </c>
      <c r="S169" t="s">
        <v>86</v>
      </c>
      <c r="T169" t="str">
        <f t="shared" si="3"/>
        <v>25mg</v>
      </c>
      <c r="U169">
        <v>67.5</v>
      </c>
      <c r="V169" t="s">
        <v>86</v>
      </c>
      <c r="W169" t="str">
        <f t="shared" si="2"/>
        <v>67.5mg</v>
      </c>
      <c r="X169" t="s">
        <v>86</v>
      </c>
      <c r="Y169" t="s">
        <v>86</v>
      </c>
      <c r="Z169" t="s">
        <v>86</v>
      </c>
      <c r="AA169" t="s">
        <v>858</v>
      </c>
    </row>
    <row r="170" spans="1:27" x14ac:dyDescent="0.2">
      <c r="A170" t="s">
        <v>782</v>
      </c>
      <c r="B170">
        <v>169</v>
      </c>
      <c r="C170">
        <v>1</v>
      </c>
      <c r="D170" t="s">
        <v>303</v>
      </c>
      <c r="E170" t="s">
        <v>1012</v>
      </c>
      <c r="F170" t="s">
        <v>1078</v>
      </c>
      <c r="G170">
        <v>65</v>
      </c>
      <c r="H170" t="s">
        <v>418</v>
      </c>
      <c r="I170">
        <v>60</v>
      </c>
      <c r="J170" t="s">
        <v>404</v>
      </c>
      <c r="Q170" t="s">
        <v>901</v>
      </c>
      <c r="R170">
        <v>50</v>
      </c>
      <c r="S170" t="s">
        <v>86</v>
      </c>
      <c r="T170" t="str">
        <f t="shared" si="3"/>
        <v>50mg</v>
      </c>
      <c r="U170">
        <v>135</v>
      </c>
      <c r="V170" t="s">
        <v>86</v>
      </c>
      <c r="W170" t="str">
        <f t="shared" si="2"/>
        <v>135mg</v>
      </c>
      <c r="X170" t="s">
        <v>86</v>
      </c>
      <c r="Y170" t="s">
        <v>86</v>
      </c>
      <c r="Z170" t="s">
        <v>86</v>
      </c>
      <c r="AA170" t="s">
        <v>858</v>
      </c>
    </row>
    <row r="171" spans="1:27" x14ac:dyDescent="0.2">
      <c r="A171" t="s">
        <v>782</v>
      </c>
      <c r="B171">
        <v>170</v>
      </c>
      <c r="C171">
        <v>1</v>
      </c>
      <c r="D171" t="s">
        <v>303</v>
      </c>
      <c r="E171" t="s">
        <v>1012</v>
      </c>
      <c r="F171" t="s">
        <v>1079</v>
      </c>
      <c r="G171">
        <v>65</v>
      </c>
      <c r="H171" t="s">
        <v>418</v>
      </c>
      <c r="I171">
        <v>87</v>
      </c>
      <c r="J171" t="s">
        <v>1080</v>
      </c>
      <c r="K171">
        <v>81</v>
      </c>
      <c r="L171" t="s">
        <v>459</v>
      </c>
      <c r="Q171" t="s">
        <v>1019</v>
      </c>
      <c r="R171">
        <v>100</v>
      </c>
      <c r="S171" t="s">
        <v>86</v>
      </c>
      <c r="T171" t="str">
        <f t="shared" si="3"/>
        <v>100mg</v>
      </c>
      <c r="U171">
        <v>250</v>
      </c>
      <c r="V171" t="s">
        <v>86</v>
      </c>
      <c r="W171" t="str">
        <f t="shared" si="2"/>
        <v>250mg</v>
      </c>
      <c r="X171">
        <v>12.5</v>
      </c>
      <c r="Y171" t="s">
        <v>86</v>
      </c>
      <c r="Z171" t="str">
        <f t="shared" ref="Z171:Z172" si="4">IF(X171=".",".",IF(Y171=".",_xlfn.CONCAT(X171,"mg"),_xlfn.CONCAT(X171,"mg/ ",Y171,"ml")))</f>
        <v>12.5mg</v>
      </c>
      <c r="AA171" t="s">
        <v>1037</v>
      </c>
    </row>
    <row r="172" spans="1:27" x14ac:dyDescent="0.2">
      <c r="A172" t="s">
        <v>782</v>
      </c>
      <c r="B172">
        <v>171</v>
      </c>
      <c r="C172">
        <v>1</v>
      </c>
      <c r="D172" t="s">
        <v>303</v>
      </c>
      <c r="E172" t="s">
        <v>1012</v>
      </c>
      <c r="F172" t="s">
        <v>1081</v>
      </c>
      <c r="G172">
        <v>65</v>
      </c>
      <c r="H172" t="s">
        <v>418</v>
      </c>
      <c r="I172">
        <v>87</v>
      </c>
      <c r="J172" t="s">
        <v>1080</v>
      </c>
      <c r="K172">
        <v>81</v>
      </c>
      <c r="L172" t="s">
        <v>459</v>
      </c>
      <c r="Q172" t="s">
        <v>1019</v>
      </c>
      <c r="R172">
        <v>200</v>
      </c>
      <c r="S172" t="s">
        <v>86</v>
      </c>
      <c r="T172" t="str">
        <f t="shared" si="3"/>
        <v>200mg</v>
      </c>
      <c r="U172">
        <v>500</v>
      </c>
      <c r="V172" t="s">
        <v>86</v>
      </c>
      <c r="W172" t="str">
        <f t="shared" si="2"/>
        <v>500mg</v>
      </c>
      <c r="X172">
        <v>25</v>
      </c>
      <c r="Y172" t="s">
        <v>86</v>
      </c>
      <c r="Z172" t="str">
        <f t="shared" si="4"/>
        <v>25mg</v>
      </c>
      <c r="AA172" t="s">
        <v>1037</v>
      </c>
    </row>
    <row r="173" spans="1:27" x14ac:dyDescent="0.2">
      <c r="A173" t="s">
        <v>782</v>
      </c>
      <c r="B173">
        <v>172</v>
      </c>
      <c r="C173">
        <v>1</v>
      </c>
      <c r="D173" t="s">
        <v>303</v>
      </c>
      <c r="E173" t="s">
        <v>1012</v>
      </c>
      <c r="F173" t="s">
        <v>1082</v>
      </c>
      <c r="G173">
        <v>61</v>
      </c>
      <c r="H173" t="s">
        <v>323</v>
      </c>
      <c r="I173">
        <v>74</v>
      </c>
      <c r="J173" t="s">
        <v>324</v>
      </c>
      <c r="Q173" t="s">
        <v>819</v>
      </c>
      <c r="R173">
        <v>20</v>
      </c>
      <c r="S173" t="s">
        <v>86</v>
      </c>
      <c r="T173" t="str">
        <f t="shared" si="3"/>
        <v>20mg</v>
      </c>
      <c r="U173">
        <v>120</v>
      </c>
      <c r="V173" t="s">
        <v>86</v>
      </c>
      <c r="W173" t="str">
        <f t="shared" si="2"/>
        <v>120mg</v>
      </c>
      <c r="X173" t="s">
        <v>86</v>
      </c>
      <c r="Y173" t="s">
        <v>86</v>
      </c>
      <c r="Z173" t="s">
        <v>86</v>
      </c>
      <c r="AA173" t="s">
        <v>794</v>
      </c>
    </row>
    <row r="174" spans="1:27" x14ac:dyDescent="0.2">
      <c r="A174" t="s">
        <v>782</v>
      </c>
      <c r="B174">
        <v>173</v>
      </c>
      <c r="C174">
        <v>1</v>
      </c>
      <c r="D174" t="s">
        <v>303</v>
      </c>
      <c r="E174" t="s">
        <v>1012</v>
      </c>
      <c r="F174" t="s">
        <v>1083</v>
      </c>
      <c r="G174">
        <v>61</v>
      </c>
      <c r="H174" t="s">
        <v>323</v>
      </c>
      <c r="I174">
        <v>74</v>
      </c>
      <c r="J174" t="s">
        <v>324</v>
      </c>
      <c r="Q174" t="s">
        <v>819</v>
      </c>
      <c r="R174">
        <v>40</v>
      </c>
      <c r="S174" t="s">
        <v>86</v>
      </c>
      <c r="T174" t="str">
        <f t="shared" si="3"/>
        <v>40mg</v>
      </c>
      <c r="U174">
        <v>240</v>
      </c>
      <c r="V174" t="s">
        <v>86</v>
      </c>
      <c r="W174" t="str">
        <f t="shared" si="2"/>
        <v>240mg</v>
      </c>
      <c r="X174" t="s">
        <v>86</v>
      </c>
      <c r="Y174" t="s">
        <v>86</v>
      </c>
      <c r="Z174" t="s">
        <v>86</v>
      </c>
      <c r="AA174" t="s">
        <v>794</v>
      </c>
    </row>
    <row r="175" spans="1:27" x14ac:dyDescent="0.2">
      <c r="A175" t="s">
        <v>782</v>
      </c>
      <c r="B175">
        <v>174</v>
      </c>
      <c r="C175">
        <v>1</v>
      </c>
      <c r="D175" t="s">
        <v>303</v>
      </c>
      <c r="E175" t="s">
        <v>1012</v>
      </c>
      <c r="F175" t="s">
        <v>1084</v>
      </c>
      <c r="G175">
        <v>61</v>
      </c>
      <c r="H175" t="s">
        <v>323</v>
      </c>
      <c r="I175">
        <v>74</v>
      </c>
      <c r="J175" t="s">
        <v>324</v>
      </c>
      <c r="Q175" t="s">
        <v>819</v>
      </c>
      <c r="R175">
        <v>60</v>
      </c>
      <c r="S175" t="s">
        <v>86</v>
      </c>
      <c r="T175" t="str">
        <f t="shared" si="3"/>
        <v>60mg</v>
      </c>
      <c r="U175">
        <v>360</v>
      </c>
      <c r="V175" t="s">
        <v>86</v>
      </c>
      <c r="W175" t="str">
        <f t="shared" si="2"/>
        <v>360mg</v>
      </c>
      <c r="X175" t="s">
        <v>86</v>
      </c>
      <c r="Y175" t="s">
        <v>86</v>
      </c>
      <c r="Z175" t="s">
        <v>86</v>
      </c>
      <c r="AA175" t="s">
        <v>794</v>
      </c>
    </row>
    <row r="176" spans="1:27" x14ac:dyDescent="0.2">
      <c r="A176" t="s">
        <v>782</v>
      </c>
      <c r="B176">
        <v>175</v>
      </c>
      <c r="C176">
        <v>1</v>
      </c>
      <c r="D176" t="s">
        <v>303</v>
      </c>
      <c r="E176" t="s">
        <v>1012</v>
      </c>
      <c r="F176" t="s">
        <v>1085</v>
      </c>
      <c r="G176">
        <v>61</v>
      </c>
      <c r="H176" t="s">
        <v>323</v>
      </c>
      <c r="I176">
        <v>74</v>
      </c>
      <c r="J176" t="s">
        <v>324</v>
      </c>
      <c r="Q176" t="s">
        <v>819</v>
      </c>
      <c r="R176">
        <v>80</v>
      </c>
      <c r="S176" t="s">
        <v>86</v>
      </c>
      <c r="T176" t="str">
        <f t="shared" si="3"/>
        <v>80mg</v>
      </c>
      <c r="U176">
        <v>480</v>
      </c>
      <c r="V176" t="s">
        <v>86</v>
      </c>
      <c r="W176" t="str">
        <f t="shared" si="2"/>
        <v>480mg</v>
      </c>
      <c r="X176" t="s">
        <v>86</v>
      </c>
      <c r="Y176" t="s">
        <v>86</v>
      </c>
      <c r="Z176" t="s">
        <v>86</v>
      </c>
      <c r="AA176" t="s">
        <v>794</v>
      </c>
    </row>
    <row r="177" spans="1:27" x14ac:dyDescent="0.2">
      <c r="A177" t="s">
        <v>782</v>
      </c>
      <c r="B177">
        <v>176</v>
      </c>
      <c r="C177">
        <v>1</v>
      </c>
      <c r="D177" t="s">
        <v>303</v>
      </c>
      <c r="E177" t="s">
        <v>1012</v>
      </c>
      <c r="F177" t="s">
        <v>1086</v>
      </c>
      <c r="G177">
        <v>61</v>
      </c>
      <c r="H177" t="s">
        <v>323</v>
      </c>
      <c r="I177">
        <v>74</v>
      </c>
      <c r="J177" t="s">
        <v>324</v>
      </c>
      <c r="Q177" t="s">
        <v>1087</v>
      </c>
      <c r="R177">
        <v>80</v>
      </c>
      <c r="S177" t="s">
        <v>86</v>
      </c>
      <c r="T177" t="str">
        <f t="shared" si="3"/>
        <v>80mg</v>
      </c>
      <c r="U177">
        <v>480</v>
      </c>
      <c r="V177" t="s">
        <v>86</v>
      </c>
      <c r="W177" t="str">
        <f t="shared" si="2"/>
        <v>480mg</v>
      </c>
      <c r="X177" t="s">
        <v>86</v>
      </c>
      <c r="Y177" t="s">
        <v>86</v>
      </c>
      <c r="Z177" t="s">
        <v>86</v>
      </c>
      <c r="AA177" t="s">
        <v>794</v>
      </c>
    </row>
    <row r="178" spans="1:27" x14ac:dyDescent="0.2">
      <c r="A178" t="s">
        <v>782</v>
      </c>
      <c r="B178">
        <v>177</v>
      </c>
      <c r="C178">
        <v>1</v>
      </c>
      <c r="D178" t="s">
        <v>303</v>
      </c>
      <c r="E178" t="s">
        <v>1012</v>
      </c>
      <c r="F178" t="s">
        <v>1088</v>
      </c>
      <c r="G178">
        <v>61</v>
      </c>
      <c r="H178" t="s">
        <v>323</v>
      </c>
      <c r="I178">
        <v>74</v>
      </c>
      <c r="J178" t="s">
        <v>324</v>
      </c>
      <c r="Q178" t="s">
        <v>1089</v>
      </c>
      <c r="R178">
        <v>80</v>
      </c>
      <c r="S178" t="s">
        <v>86</v>
      </c>
      <c r="T178" t="str">
        <f t="shared" si="3"/>
        <v>80mg</v>
      </c>
      <c r="U178">
        <v>480</v>
      </c>
      <c r="V178" t="s">
        <v>86</v>
      </c>
      <c r="W178" t="str">
        <f t="shared" si="2"/>
        <v>480mg</v>
      </c>
      <c r="X178" t="s">
        <v>86</v>
      </c>
      <c r="Y178" t="s">
        <v>86</v>
      </c>
      <c r="Z178" t="s">
        <v>86</v>
      </c>
      <c r="AA178" t="s">
        <v>794</v>
      </c>
    </row>
    <row r="179" spans="1:27" x14ac:dyDescent="0.2">
      <c r="A179" t="s">
        <v>782</v>
      </c>
      <c r="B179">
        <v>178</v>
      </c>
      <c r="C179">
        <v>1</v>
      </c>
      <c r="D179" t="s">
        <v>303</v>
      </c>
      <c r="E179" t="s">
        <v>1012</v>
      </c>
      <c r="F179" t="s">
        <v>1090</v>
      </c>
      <c r="G179">
        <v>61</v>
      </c>
      <c r="H179" t="s">
        <v>323</v>
      </c>
      <c r="I179">
        <v>74</v>
      </c>
      <c r="J179" t="s">
        <v>324</v>
      </c>
      <c r="Q179" t="s">
        <v>1091</v>
      </c>
      <c r="R179">
        <v>40</v>
      </c>
      <c r="S179" t="s">
        <v>86</v>
      </c>
      <c r="T179" t="str">
        <f t="shared" si="3"/>
        <v>40mg</v>
      </c>
      <c r="U179">
        <v>240</v>
      </c>
      <c r="V179" t="s">
        <v>86</v>
      </c>
      <c r="W179" t="str">
        <f t="shared" si="2"/>
        <v>240mg</v>
      </c>
      <c r="X179" t="s">
        <v>86</v>
      </c>
      <c r="Y179" t="s">
        <v>86</v>
      </c>
      <c r="Z179" t="s">
        <v>86</v>
      </c>
      <c r="AA179" t="s">
        <v>794</v>
      </c>
    </row>
    <row r="180" spans="1:27" x14ac:dyDescent="0.2">
      <c r="A180" t="s">
        <v>782</v>
      </c>
      <c r="B180">
        <v>179</v>
      </c>
      <c r="C180">
        <v>1</v>
      </c>
      <c r="D180" t="s">
        <v>303</v>
      </c>
      <c r="E180" t="s">
        <v>1012</v>
      </c>
      <c r="F180" t="s">
        <v>1092</v>
      </c>
      <c r="G180">
        <v>68</v>
      </c>
      <c r="H180" t="s">
        <v>861</v>
      </c>
      <c r="Q180">
        <v>99</v>
      </c>
      <c r="R180">
        <v>100</v>
      </c>
      <c r="S180" t="s">
        <v>86</v>
      </c>
      <c r="T180" t="str">
        <f t="shared" si="3"/>
        <v>100mg</v>
      </c>
      <c r="U180" t="s">
        <v>86</v>
      </c>
      <c r="V180" t="s">
        <v>86</v>
      </c>
      <c r="W180" t="str">
        <f t="shared" si="2"/>
        <v>.</v>
      </c>
      <c r="X180" t="s">
        <v>86</v>
      </c>
      <c r="Y180" t="s">
        <v>86</v>
      </c>
      <c r="Z180" t="s">
        <v>86</v>
      </c>
      <c r="AA180" t="s">
        <v>863</v>
      </c>
    </row>
    <row r="181" spans="1:27" x14ac:dyDescent="0.2">
      <c r="A181" t="s">
        <v>782</v>
      </c>
      <c r="B181">
        <v>180</v>
      </c>
      <c r="C181">
        <v>1</v>
      </c>
      <c r="D181" t="s">
        <v>303</v>
      </c>
      <c r="E181" t="s">
        <v>1012</v>
      </c>
      <c r="F181" t="s">
        <v>1093</v>
      </c>
      <c r="G181">
        <v>68</v>
      </c>
      <c r="H181" t="s">
        <v>861</v>
      </c>
      <c r="Q181" t="s">
        <v>1094</v>
      </c>
      <c r="R181">
        <v>62</v>
      </c>
      <c r="S181" t="s">
        <v>86</v>
      </c>
      <c r="T181" t="str">
        <f t="shared" si="3"/>
        <v>62mg</v>
      </c>
      <c r="U181" t="s">
        <v>86</v>
      </c>
      <c r="V181" t="s">
        <v>86</v>
      </c>
      <c r="W181" t="str">
        <f t="shared" si="2"/>
        <v>.</v>
      </c>
      <c r="X181" t="s">
        <v>86</v>
      </c>
      <c r="Y181" t="s">
        <v>86</v>
      </c>
      <c r="Z181" t="s">
        <v>86</v>
      </c>
      <c r="AA181" t="s">
        <v>863</v>
      </c>
    </row>
    <row r="182" spans="1:27" x14ac:dyDescent="0.2">
      <c r="A182" t="s">
        <v>782</v>
      </c>
      <c r="B182">
        <v>181</v>
      </c>
      <c r="C182">
        <v>1</v>
      </c>
      <c r="D182" t="s">
        <v>303</v>
      </c>
      <c r="E182" t="s">
        <v>1012</v>
      </c>
      <c r="F182" t="s">
        <v>1095</v>
      </c>
      <c r="G182">
        <v>68</v>
      </c>
      <c r="H182" t="s">
        <v>861</v>
      </c>
      <c r="Q182" t="s">
        <v>1096</v>
      </c>
      <c r="R182">
        <v>100</v>
      </c>
      <c r="S182" t="s">
        <v>86</v>
      </c>
      <c r="T182" t="str">
        <f t="shared" si="3"/>
        <v>100mg</v>
      </c>
      <c r="U182" t="s">
        <v>86</v>
      </c>
      <c r="V182" t="s">
        <v>86</v>
      </c>
      <c r="W182" t="str">
        <f t="shared" si="2"/>
        <v>.</v>
      </c>
      <c r="X182" t="s">
        <v>86</v>
      </c>
      <c r="Y182" t="s">
        <v>86</v>
      </c>
      <c r="Z182" t="s">
        <v>86</v>
      </c>
      <c r="AA182" t="s">
        <v>863</v>
      </c>
    </row>
    <row r="183" spans="1:27" x14ac:dyDescent="0.2">
      <c r="A183" t="s">
        <v>782</v>
      </c>
      <c r="B183">
        <v>182</v>
      </c>
      <c r="C183">
        <v>1</v>
      </c>
      <c r="D183" t="s">
        <v>303</v>
      </c>
      <c r="E183" t="s">
        <v>1012</v>
      </c>
      <c r="F183" t="s">
        <v>1097</v>
      </c>
      <c r="G183">
        <v>68</v>
      </c>
      <c r="H183" t="s">
        <v>861</v>
      </c>
      <c r="Q183" t="s">
        <v>1098</v>
      </c>
      <c r="R183">
        <v>100</v>
      </c>
      <c r="S183" t="s">
        <v>86</v>
      </c>
      <c r="T183" t="str">
        <f t="shared" si="3"/>
        <v>100mg</v>
      </c>
      <c r="U183" t="s">
        <v>86</v>
      </c>
      <c r="V183" t="s">
        <v>86</v>
      </c>
      <c r="W183" t="str">
        <f t="shared" si="2"/>
        <v>.</v>
      </c>
      <c r="X183" t="s">
        <v>86</v>
      </c>
      <c r="Y183" t="s">
        <v>86</v>
      </c>
      <c r="Z183" t="s">
        <v>86</v>
      </c>
      <c r="AA183" t="s">
        <v>863</v>
      </c>
    </row>
    <row r="184" spans="1:27" x14ac:dyDescent="0.2">
      <c r="A184" t="s">
        <v>782</v>
      </c>
      <c r="B184">
        <v>183</v>
      </c>
      <c r="C184">
        <v>1</v>
      </c>
      <c r="D184" t="s">
        <v>303</v>
      </c>
      <c r="E184" t="s">
        <v>1012</v>
      </c>
      <c r="F184" t="s">
        <v>1099</v>
      </c>
      <c r="G184">
        <v>68</v>
      </c>
      <c r="H184" t="s">
        <v>861</v>
      </c>
      <c r="Q184" t="s">
        <v>1100</v>
      </c>
      <c r="R184">
        <v>100</v>
      </c>
      <c r="S184" t="s">
        <v>86</v>
      </c>
      <c r="T184" t="str">
        <f t="shared" si="3"/>
        <v>100mg</v>
      </c>
      <c r="U184" t="s">
        <v>86</v>
      </c>
      <c r="V184" t="s">
        <v>86</v>
      </c>
      <c r="W184" t="str">
        <f t="shared" si="2"/>
        <v>.</v>
      </c>
      <c r="X184" t="s">
        <v>86</v>
      </c>
      <c r="Y184" t="s">
        <v>86</v>
      </c>
      <c r="Z184" t="s">
        <v>86</v>
      </c>
      <c r="AA184" t="s">
        <v>863</v>
      </c>
    </row>
    <row r="185" spans="1:27" x14ac:dyDescent="0.2">
      <c r="A185" t="s">
        <v>782</v>
      </c>
      <c r="B185">
        <v>184</v>
      </c>
      <c r="C185">
        <v>1</v>
      </c>
      <c r="D185" t="s">
        <v>303</v>
      </c>
      <c r="E185" t="s">
        <v>1012</v>
      </c>
      <c r="F185" t="s">
        <v>1101</v>
      </c>
      <c r="G185">
        <v>65</v>
      </c>
      <c r="H185" t="s">
        <v>418</v>
      </c>
      <c r="I185">
        <v>87</v>
      </c>
      <c r="J185" t="s">
        <v>1080</v>
      </c>
      <c r="K185">
        <v>81</v>
      </c>
      <c r="L185" t="s">
        <v>459</v>
      </c>
      <c r="Q185" t="s">
        <v>813</v>
      </c>
      <c r="R185">
        <v>200</v>
      </c>
      <c r="S185" t="s">
        <v>86</v>
      </c>
      <c r="T185" t="str">
        <f t="shared" si="3"/>
        <v>200mg</v>
      </c>
      <c r="U185">
        <v>500</v>
      </c>
      <c r="V185" t="s">
        <v>86</v>
      </c>
      <c r="W185" t="str">
        <f t="shared" si="2"/>
        <v>500mg</v>
      </c>
      <c r="X185">
        <v>25</v>
      </c>
      <c r="Y185" t="s">
        <v>86</v>
      </c>
      <c r="Z185" t="str">
        <f t="shared" ref="Z185:Z186" si="5">IF(X185=".",".",IF(Y185=".",_xlfn.CONCAT(X185,"mg"),_xlfn.CONCAT(X185,"mg/ ",Y185,"ml")))</f>
        <v>25mg</v>
      </c>
      <c r="AA185" t="s">
        <v>1037</v>
      </c>
    </row>
    <row r="186" spans="1:27" x14ac:dyDescent="0.2">
      <c r="A186" t="s">
        <v>782</v>
      </c>
      <c r="B186">
        <v>185</v>
      </c>
      <c r="C186">
        <v>1</v>
      </c>
      <c r="D186" t="s">
        <v>303</v>
      </c>
      <c r="E186" t="s">
        <v>1012</v>
      </c>
      <c r="F186" t="s">
        <v>1102</v>
      </c>
      <c r="G186">
        <v>65</v>
      </c>
      <c r="H186" t="s">
        <v>418</v>
      </c>
      <c r="I186">
        <v>87</v>
      </c>
      <c r="J186" t="s">
        <v>1080</v>
      </c>
      <c r="K186">
        <v>81</v>
      </c>
      <c r="L186" t="s">
        <v>459</v>
      </c>
      <c r="Q186" t="s">
        <v>813</v>
      </c>
      <c r="R186">
        <v>100</v>
      </c>
      <c r="S186" t="s">
        <v>86</v>
      </c>
      <c r="T186" t="str">
        <f t="shared" si="3"/>
        <v>100mg</v>
      </c>
      <c r="U186">
        <v>250</v>
      </c>
      <c r="V186" t="s">
        <v>86</v>
      </c>
      <c r="W186" t="str">
        <f t="shared" si="2"/>
        <v>250mg</v>
      </c>
      <c r="X186">
        <v>12.5</v>
      </c>
      <c r="Y186" t="s">
        <v>86</v>
      </c>
      <c r="Z186" t="str">
        <f t="shared" si="5"/>
        <v>12.5mg</v>
      </c>
      <c r="AA186" t="s">
        <v>1037</v>
      </c>
    </row>
    <row r="187" spans="1:27" x14ac:dyDescent="0.2">
      <c r="A187" t="s">
        <v>782</v>
      </c>
      <c r="B187">
        <v>186</v>
      </c>
      <c r="C187">
        <v>1</v>
      </c>
      <c r="D187" t="s">
        <v>303</v>
      </c>
      <c r="E187" t="s">
        <v>1012</v>
      </c>
      <c r="F187" t="s">
        <v>1103</v>
      </c>
      <c r="G187">
        <v>61</v>
      </c>
      <c r="H187" t="s">
        <v>323</v>
      </c>
      <c r="I187">
        <v>74</v>
      </c>
      <c r="J187" t="s">
        <v>324</v>
      </c>
      <c r="Q187" t="s">
        <v>1104</v>
      </c>
      <c r="R187">
        <v>20</v>
      </c>
      <c r="S187" t="s">
        <v>86</v>
      </c>
      <c r="T187" t="str">
        <f t="shared" si="3"/>
        <v>20mg</v>
      </c>
      <c r="U187">
        <v>120</v>
      </c>
      <c r="V187" t="s">
        <v>86</v>
      </c>
      <c r="W187" t="str">
        <f t="shared" si="2"/>
        <v>120mg</v>
      </c>
      <c r="X187" t="s">
        <v>86</v>
      </c>
      <c r="Y187" t="s">
        <v>86</v>
      </c>
      <c r="Z187" t="s">
        <v>86</v>
      </c>
      <c r="AA187" t="s">
        <v>794</v>
      </c>
    </row>
    <row r="188" spans="1:27" x14ac:dyDescent="0.2">
      <c r="A188" t="s">
        <v>782</v>
      </c>
      <c r="B188">
        <v>187</v>
      </c>
      <c r="C188">
        <v>1</v>
      </c>
      <c r="D188" t="s">
        <v>303</v>
      </c>
      <c r="E188" t="s">
        <v>1012</v>
      </c>
      <c r="F188" t="s">
        <v>1105</v>
      </c>
      <c r="G188">
        <v>61</v>
      </c>
      <c r="H188" t="s">
        <v>323</v>
      </c>
      <c r="I188">
        <v>74</v>
      </c>
      <c r="J188" t="s">
        <v>324</v>
      </c>
      <c r="Q188" t="s">
        <v>1104</v>
      </c>
      <c r="R188">
        <v>20</v>
      </c>
      <c r="S188" t="s">
        <v>86</v>
      </c>
      <c r="T188" t="str">
        <f t="shared" si="3"/>
        <v>20mg</v>
      </c>
      <c r="U188">
        <v>120</v>
      </c>
      <c r="V188" t="s">
        <v>86</v>
      </c>
      <c r="W188" t="str">
        <f t="shared" si="2"/>
        <v>120mg</v>
      </c>
      <c r="X188" t="s">
        <v>86</v>
      </c>
      <c r="Y188" t="s">
        <v>86</v>
      </c>
      <c r="Z188" t="s">
        <v>86</v>
      </c>
      <c r="AA188" t="s">
        <v>794</v>
      </c>
    </row>
    <row r="189" spans="1:27" x14ac:dyDescent="0.2">
      <c r="A189" t="s">
        <v>782</v>
      </c>
      <c r="B189">
        <v>188</v>
      </c>
      <c r="C189">
        <v>1</v>
      </c>
      <c r="D189" t="s">
        <v>303</v>
      </c>
      <c r="E189" t="s">
        <v>1012</v>
      </c>
      <c r="F189" t="s">
        <v>1106</v>
      </c>
      <c r="G189">
        <v>61</v>
      </c>
      <c r="H189" t="s">
        <v>323</v>
      </c>
      <c r="I189">
        <v>74</v>
      </c>
      <c r="J189" t="s">
        <v>324</v>
      </c>
      <c r="Q189" t="s">
        <v>1104</v>
      </c>
      <c r="R189">
        <v>20</v>
      </c>
      <c r="S189" t="s">
        <v>86</v>
      </c>
      <c r="T189" t="str">
        <f t="shared" si="3"/>
        <v>20mg</v>
      </c>
      <c r="U189">
        <v>120</v>
      </c>
      <c r="V189" t="s">
        <v>86</v>
      </c>
      <c r="W189" t="str">
        <f t="shared" si="2"/>
        <v>120mg</v>
      </c>
      <c r="X189" t="s">
        <v>86</v>
      </c>
      <c r="Y189" t="s">
        <v>86</v>
      </c>
      <c r="Z189" t="s">
        <v>86</v>
      </c>
      <c r="AA189" t="s">
        <v>794</v>
      </c>
    </row>
    <row r="190" spans="1:27" x14ac:dyDescent="0.2">
      <c r="A190" t="s">
        <v>782</v>
      </c>
      <c r="B190">
        <v>189</v>
      </c>
      <c r="C190">
        <v>1</v>
      </c>
      <c r="D190" t="s">
        <v>303</v>
      </c>
      <c r="E190" t="s">
        <v>1012</v>
      </c>
      <c r="F190" t="s">
        <v>1107</v>
      </c>
      <c r="G190">
        <v>61</v>
      </c>
      <c r="H190" t="s">
        <v>323</v>
      </c>
      <c r="I190">
        <v>74</v>
      </c>
      <c r="J190" t="s">
        <v>324</v>
      </c>
      <c r="Q190" t="s">
        <v>1104</v>
      </c>
      <c r="R190">
        <v>20</v>
      </c>
      <c r="S190" t="s">
        <v>86</v>
      </c>
      <c r="T190" t="str">
        <f t="shared" si="3"/>
        <v>20mg</v>
      </c>
      <c r="U190">
        <v>120</v>
      </c>
      <c r="V190" t="s">
        <v>86</v>
      </c>
      <c r="W190" t="str">
        <f t="shared" si="2"/>
        <v>120mg</v>
      </c>
      <c r="X190" t="s">
        <v>86</v>
      </c>
      <c r="Y190" t="s">
        <v>86</v>
      </c>
      <c r="Z190" t="s">
        <v>86</v>
      </c>
      <c r="AA190" t="s">
        <v>794</v>
      </c>
    </row>
    <row r="191" spans="1:27" x14ac:dyDescent="0.2">
      <c r="A191" t="s">
        <v>782</v>
      </c>
      <c r="B191">
        <v>190</v>
      </c>
      <c r="C191">
        <v>1</v>
      </c>
      <c r="D191" t="s">
        <v>303</v>
      </c>
      <c r="E191" t="s">
        <v>1012</v>
      </c>
      <c r="F191" t="s">
        <v>1108</v>
      </c>
      <c r="G191">
        <v>61</v>
      </c>
      <c r="H191" t="s">
        <v>323</v>
      </c>
      <c r="I191">
        <v>74</v>
      </c>
      <c r="J191" t="s">
        <v>324</v>
      </c>
      <c r="Q191" t="s">
        <v>1104</v>
      </c>
      <c r="R191">
        <v>80</v>
      </c>
      <c r="S191" t="s">
        <v>86</v>
      </c>
      <c r="T191" t="str">
        <f t="shared" si="3"/>
        <v>80mg</v>
      </c>
      <c r="U191">
        <v>480</v>
      </c>
      <c r="V191" t="s">
        <v>86</v>
      </c>
      <c r="W191" t="str">
        <f t="shared" si="2"/>
        <v>480mg</v>
      </c>
      <c r="X191" t="s">
        <v>86</v>
      </c>
      <c r="Y191" t="s">
        <v>86</v>
      </c>
      <c r="Z191" t="s">
        <v>86</v>
      </c>
      <c r="AA191" t="s">
        <v>794</v>
      </c>
    </row>
    <row r="192" spans="1:27" x14ac:dyDescent="0.2">
      <c r="A192" t="s">
        <v>782</v>
      </c>
      <c r="B192">
        <v>191</v>
      </c>
      <c r="C192">
        <v>1</v>
      </c>
      <c r="D192" t="s">
        <v>303</v>
      </c>
      <c r="E192" t="s">
        <v>1012</v>
      </c>
      <c r="F192" t="s">
        <v>1109</v>
      </c>
      <c r="G192">
        <v>61</v>
      </c>
      <c r="H192" t="s">
        <v>323</v>
      </c>
      <c r="I192">
        <v>74</v>
      </c>
      <c r="J192" t="s">
        <v>324</v>
      </c>
      <c r="Q192" t="s">
        <v>825</v>
      </c>
      <c r="R192">
        <v>20</v>
      </c>
      <c r="S192" t="s">
        <v>86</v>
      </c>
      <c r="T192" t="str">
        <f t="shared" si="3"/>
        <v>20mg</v>
      </c>
      <c r="U192">
        <v>120</v>
      </c>
      <c r="V192" t="s">
        <v>86</v>
      </c>
      <c r="W192" t="str">
        <f t="shared" ref="W192:W255" si="6">IF(U192=".",".",IF(V192=".",_xlfn.CONCAT(U192,"mg"),_xlfn.CONCAT(U192,"mg/ ",V192,"ml")))</f>
        <v>120mg</v>
      </c>
      <c r="X192" t="s">
        <v>86</v>
      </c>
      <c r="Y192" t="s">
        <v>86</v>
      </c>
      <c r="Z192" t="s">
        <v>86</v>
      </c>
      <c r="AA192" t="s">
        <v>794</v>
      </c>
    </row>
    <row r="193" spans="1:27" x14ac:dyDescent="0.2">
      <c r="A193" t="s">
        <v>782</v>
      </c>
      <c r="B193">
        <v>192</v>
      </c>
      <c r="C193">
        <v>1</v>
      </c>
      <c r="D193" t="s">
        <v>303</v>
      </c>
      <c r="E193" t="s">
        <v>1012</v>
      </c>
      <c r="F193" t="s">
        <v>1110</v>
      </c>
      <c r="G193">
        <v>61</v>
      </c>
      <c r="H193" t="s">
        <v>323</v>
      </c>
      <c r="I193">
        <v>74</v>
      </c>
      <c r="J193" t="s">
        <v>324</v>
      </c>
      <c r="Q193" t="s">
        <v>825</v>
      </c>
      <c r="R193">
        <v>80</v>
      </c>
      <c r="S193" t="s">
        <v>86</v>
      </c>
      <c r="T193" t="str">
        <f t="shared" si="3"/>
        <v>80mg</v>
      </c>
      <c r="U193">
        <v>480</v>
      </c>
      <c r="V193" t="s">
        <v>86</v>
      </c>
      <c r="W193" t="str">
        <f t="shared" si="6"/>
        <v>480mg</v>
      </c>
      <c r="X193" t="s">
        <v>86</v>
      </c>
      <c r="Y193" t="s">
        <v>86</v>
      </c>
      <c r="Z193" t="s">
        <v>86</v>
      </c>
      <c r="AA193" t="s">
        <v>794</v>
      </c>
    </row>
    <row r="194" spans="1:27" x14ac:dyDescent="0.2">
      <c r="A194" t="s">
        <v>782</v>
      </c>
      <c r="B194">
        <v>193</v>
      </c>
      <c r="C194">
        <v>1</v>
      </c>
      <c r="D194" t="s">
        <v>303</v>
      </c>
      <c r="E194" t="s">
        <v>1012</v>
      </c>
      <c r="F194" t="s">
        <v>1111</v>
      </c>
      <c r="G194">
        <v>61</v>
      </c>
      <c r="H194" t="s">
        <v>323</v>
      </c>
      <c r="I194">
        <v>74</v>
      </c>
      <c r="J194" t="s">
        <v>324</v>
      </c>
      <c r="Q194" t="s">
        <v>825</v>
      </c>
      <c r="R194">
        <v>20</v>
      </c>
      <c r="S194" t="s">
        <v>86</v>
      </c>
      <c r="T194" t="str">
        <f t="shared" si="3"/>
        <v>20mg</v>
      </c>
      <c r="U194">
        <v>120</v>
      </c>
      <c r="V194" t="s">
        <v>86</v>
      </c>
      <c r="W194" t="str">
        <f t="shared" si="6"/>
        <v>120mg</v>
      </c>
      <c r="X194" t="s">
        <v>86</v>
      </c>
      <c r="Y194" t="s">
        <v>86</v>
      </c>
      <c r="Z194" t="s">
        <v>86</v>
      </c>
      <c r="AA194" t="s">
        <v>794</v>
      </c>
    </row>
    <row r="195" spans="1:27" x14ac:dyDescent="0.2">
      <c r="A195" t="s">
        <v>782</v>
      </c>
      <c r="B195">
        <v>194</v>
      </c>
      <c r="C195">
        <v>1</v>
      </c>
      <c r="D195" t="s">
        <v>303</v>
      </c>
      <c r="E195" t="s">
        <v>1012</v>
      </c>
      <c r="F195" t="s">
        <v>1112</v>
      </c>
      <c r="G195">
        <v>61</v>
      </c>
      <c r="H195" t="s">
        <v>323</v>
      </c>
      <c r="I195">
        <v>74</v>
      </c>
      <c r="J195" t="s">
        <v>324</v>
      </c>
      <c r="Q195" t="s">
        <v>1113</v>
      </c>
      <c r="R195">
        <v>20</v>
      </c>
      <c r="S195" t="s">
        <v>86</v>
      </c>
      <c r="T195" t="str">
        <f t="shared" ref="T195:T258" si="7">IF(S195=".",_xlfn.CONCAT(R195,"mg"),_xlfn.CONCAT(R195,"mg/ ",S195,"ml"))</f>
        <v>20mg</v>
      </c>
      <c r="U195">
        <v>120</v>
      </c>
      <c r="V195" t="s">
        <v>86</v>
      </c>
      <c r="W195" t="str">
        <f t="shared" si="6"/>
        <v>120mg</v>
      </c>
      <c r="X195" t="s">
        <v>86</v>
      </c>
      <c r="Y195" t="s">
        <v>86</v>
      </c>
      <c r="Z195" t="s">
        <v>86</v>
      </c>
      <c r="AA195" t="s">
        <v>794</v>
      </c>
    </row>
    <row r="196" spans="1:27" x14ac:dyDescent="0.2">
      <c r="A196" t="s">
        <v>782</v>
      </c>
      <c r="B196">
        <v>195</v>
      </c>
      <c r="C196">
        <v>1</v>
      </c>
      <c r="D196" t="s">
        <v>303</v>
      </c>
      <c r="E196" t="s">
        <v>1012</v>
      </c>
      <c r="F196" t="s">
        <v>1114</v>
      </c>
      <c r="G196">
        <v>61</v>
      </c>
      <c r="H196" t="s">
        <v>323</v>
      </c>
      <c r="I196">
        <v>74</v>
      </c>
      <c r="J196" t="s">
        <v>324</v>
      </c>
      <c r="Q196" t="s">
        <v>1115</v>
      </c>
      <c r="R196">
        <v>20</v>
      </c>
      <c r="S196" t="s">
        <v>86</v>
      </c>
      <c r="T196" t="str">
        <f t="shared" si="7"/>
        <v>20mg</v>
      </c>
      <c r="U196">
        <v>120</v>
      </c>
      <c r="V196" t="s">
        <v>86</v>
      </c>
      <c r="W196" t="str">
        <f t="shared" si="6"/>
        <v>120mg</v>
      </c>
      <c r="X196" t="s">
        <v>86</v>
      </c>
      <c r="Y196" t="s">
        <v>86</v>
      </c>
      <c r="Z196" t="s">
        <v>86</v>
      </c>
      <c r="AA196" t="s">
        <v>794</v>
      </c>
    </row>
    <row r="197" spans="1:27" x14ac:dyDescent="0.2">
      <c r="A197" t="s">
        <v>782</v>
      </c>
      <c r="B197">
        <v>196</v>
      </c>
      <c r="C197">
        <v>1</v>
      </c>
      <c r="D197" t="s">
        <v>303</v>
      </c>
      <c r="E197" t="s">
        <v>1012</v>
      </c>
      <c r="F197" t="s">
        <v>1116</v>
      </c>
      <c r="G197">
        <v>61</v>
      </c>
      <c r="H197" t="s">
        <v>323</v>
      </c>
      <c r="I197">
        <v>74</v>
      </c>
      <c r="J197" t="s">
        <v>324</v>
      </c>
      <c r="Q197" t="s">
        <v>1115</v>
      </c>
      <c r="R197">
        <v>20</v>
      </c>
      <c r="S197" t="s">
        <v>86</v>
      </c>
      <c r="T197" t="str">
        <f t="shared" si="7"/>
        <v>20mg</v>
      </c>
      <c r="U197">
        <v>120</v>
      </c>
      <c r="V197" t="s">
        <v>86</v>
      </c>
      <c r="W197" t="str">
        <f t="shared" si="6"/>
        <v>120mg</v>
      </c>
      <c r="X197" t="s">
        <v>86</v>
      </c>
      <c r="Y197" t="s">
        <v>86</v>
      </c>
      <c r="Z197" t="s">
        <v>86</v>
      </c>
      <c r="AA197" t="s">
        <v>794</v>
      </c>
    </row>
    <row r="198" spans="1:27" x14ac:dyDescent="0.2">
      <c r="A198" t="s">
        <v>782</v>
      </c>
      <c r="B198">
        <v>197</v>
      </c>
      <c r="C198">
        <v>1</v>
      </c>
      <c r="D198" t="s">
        <v>303</v>
      </c>
      <c r="E198" t="s">
        <v>1012</v>
      </c>
      <c r="F198" t="s">
        <v>1117</v>
      </c>
      <c r="G198">
        <v>61</v>
      </c>
      <c r="H198" t="s">
        <v>323</v>
      </c>
      <c r="I198">
        <v>74</v>
      </c>
      <c r="J198" t="s">
        <v>324</v>
      </c>
      <c r="Q198" t="s">
        <v>1115</v>
      </c>
      <c r="R198">
        <v>20</v>
      </c>
      <c r="S198" t="s">
        <v>86</v>
      </c>
      <c r="T198" t="str">
        <f t="shared" si="7"/>
        <v>20mg</v>
      </c>
      <c r="U198">
        <v>120</v>
      </c>
      <c r="V198" t="s">
        <v>86</v>
      </c>
      <c r="W198" t="str">
        <f t="shared" si="6"/>
        <v>120mg</v>
      </c>
      <c r="X198" t="s">
        <v>86</v>
      </c>
      <c r="Y198" t="s">
        <v>86</v>
      </c>
      <c r="Z198" t="s">
        <v>86</v>
      </c>
      <c r="AA198" t="s">
        <v>794</v>
      </c>
    </row>
    <row r="199" spans="1:27" x14ac:dyDescent="0.2">
      <c r="A199" t="s">
        <v>782</v>
      </c>
      <c r="B199">
        <v>198</v>
      </c>
      <c r="C199">
        <v>1</v>
      </c>
      <c r="D199" t="s">
        <v>303</v>
      </c>
      <c r="E199" t="s">
        <v>1012</v>
      </c>
      <c r="F199" t="s">
        <v>1118</v>
      </c>
      <c r="G199">
        <v>61</v>
      </c>
      <c r="H199" t="s">
        <v>323</v>
      </c>
      <c r="I199">
        <v>74</v>
      </c>
      <c r="J199" t="s">
        <v>324</v>
      </c>
      <c r="Q199" t="s">
        <v>1115</v>
      </c>
      <c r="R199">
        <v>20</v>
      </c>
      <c r="S199" t="s">
        <v>86</v>
      </c>
      <c r="T199" t="str">
        <f t="shared" si="7"/>
        <v>20mg</v>
      </c>
      <c r="U199">
        <v>120</v>
      </c>
      <c r="V199" t="s">
        <v>86</v>
      </c>
      <c r="W199" t="str">
        <f t="shared" si="6"/>
        <v>120mg</v>
      </c>
      <c r="X199" t="s">
        <v>86</v>
      </c>
      <c r="Y199" t="s">
        <v>86</v>
      </c>
      <c r="Z199" t="s">
        <v>86</v>
      </c>
      <c r="AA199" t="s">
        <v>794</v>
      </c>
    </row>
    <row r="200" spans="1:27" x14ac:dyDescent="0.2">
      <c r="A200" t="s">
        <v>782</v>
      </c>
      <c r="B200">
        <v>199</v>
      </c>
      <c r="C200">
        <v>1</v>
      </c>
      <c r="D200" t="s">
        <v>303</v>
      </c>
      <c r="E200" t="s">
        <v>1012</v>
      </c>
      <c r="F200" t="s">
        <v>1119</v>
      </c>
      <c r="G200">
        <v>61</v>
      </c>
      <c r="H200" t="s">
        <v>323</v>
      </c>
      <c r="I200">
        <v>74</v>
      </c>
      <c r="J200" t="s">
        <v>324</v>
      </c>
      <c r="Q200" t="s">
        <v>1115</v>
      </c>
      <c r="R200">
        <v>80</v>
      </c>
      <c r="S200" t="s">
        <v>86</v>
      </c>
      <c r="T200" t="str">
        <f t="shared" si="7"/>
        <v>80mg</v>
      </c>
      <c r="U200">
        <v>480</v>
      </c>
      <c r="V200" t="s">
        <v>86</v>
      </c>
      <c r="W200" t="str">
        <f t="shared" si="6"/>
        <v>480mg</v>
      </c>
      <c r="X200" t="s">
        <v>86</v>
      </c>
      <c r="Y200" t="s">
        <v>86</v>
      </c>
      <c r="Z200" t="s">
        <v>86</v>
      </c>
      <c r="AA200" t="s">
        <v>794</v>
      </c>
    </row>
    <row r="201" spans="1:27" x14ac:dyDescent="0.2">
      <c r="A201" t="s">
        <v>782</v>
      </c>
      <c r="B201">
        <v>200</v>
      </c>
      <c r="C201">
        <v>1</v>
      </c>
      <c r="D201" t="s">
        <v>303</v>
      </c>
      <c r="E201" t="s">
        <v>1012</v>
      </c>
      <c r="F201" t="s">
        <v>1120</v>
      </c>
      <c r="G201">
        <v>85</v>
      </c>
      <c r="H201" t="s">
        <v>460</v>
      </c>
      <c r="I201">
        <v>81</v>
      </c>
      <c r="J201" t="s">
        <v>459</v>
      </c>
      <c r="Q201" t="s">
        <v>328</v>
      </c>
      <c r="R201">
        <v>500</v>
      </c>
      <c r="S201" t="s">
        <v>86</v>
      </c>
      <c r="T201" t="str">
        <f t="shared" si="7"/>
        <v>500mg</v>
      </c>
      <c r="U201">
        <v>25</v>
      </c>
      <c r="V201" t="s">
        <v>86</v>
      </c>
      <c r="W201" t="str">
        <f t="shared" si="6"/>
        <v>25mg</v>
      </c>
      <c r="X201" t="s">
        <v>86</v>
      </c>
      <c r="Y201" t="s">
        <v>86</v>
      </c>
      <c r="Z201" t="s">
        <v>86</v>
      </c>
      <c r="AA201" t="s">
        <v>1016</v>
      </c>
    </row>
    <row r="202" spans="1:27" x14ac:dyDescent="0.2">
      <c r="A202" t="s">
        <v>782</v>
      </c>
      <c r="B202">
        <v>201</v>
      </c>
      <c r="C202">
        <v>1</v>
      </c>
      <c r="D202" t="s">
        <v>303</v>
      </c>
      <c r="E202" t="s">
        <v>1012</v>
      </c>
      <c r="F202" t="s">
        <v>1121</v>
      </c>
      <c r="G202">
        <v>61</v>
      </c>
      <c r="H202" t="s">
        <v>323</v>
      </c>
      <c r="I202">
        <v>74</v>
      </c>
      <c r="J202" t="s">
        <v>324</v>
      </c>
      <c r="Q202" t="s">
        <v>328</v>
      </c>
      <c r="R202">
        <v>20</v>
      </c>
      <c r="S202" t="s">
        <v>86</v>
      </c>
      <c r="T202" t="str">
        <f t="shared" si="7"/>
        <v>20mg</v>
      </c>
      <c r="U202">
        <v>120</v>
      </c>
      <c r="V202" t="s">
        <v>86</v>
      </c>
      <c r="W202" t="str">
        <f t="shared" si="6"/>
        <v>120mg</v>
      </c>
      <c r="X202" t="s">
        <v>86</v>
      </c>
      <c r="Y202" t="s">
        <v>86</v>
      </c>
      <c r="Z202" t="s">
        <v>86</v>
      </c>
      <c r="AA202" t="s">
        <v>794</v>
      </c>
    </row>
    <row r="203" spans="1:27" x14ac:dyDescent="0.2">
      <c r="A203" t="s">
        <v>782</v>
      </c>
      <c r="B203">
        <v>202</v>
      </c>
      <c r="C203">
        <v>1</v>
      </c>
      <c r="D203" t="s">
        <v>303</v>
      </c>
      <c r="E203" t="s">
        <v>1012</v>
      </c>
      <c r="F203" t="s">
        <v>1122</v>
      </c>
      <c r="G203">
        <v>61</v>
      </c>
      <c r="H203" t="s">
        <v>323</v>
      </c>
      <c r="I203">
        <v>74</v>
      </c>
      <c r="J203" t="s">
        <v>324</v>
      </c>
      <c r="Q203" t="s">
        <v>328</v>
      </c>
      <c r="R203">
        <v>20</v>
      </c>
      <c r="S203" t="s">
        <v>86</v>
      </c>
      <c r="T203" t="str">
        <f t="shared" si="7"/>
        <v>20mg</v>
      </c>
      <c r="U203">
        <v>120</v>
      </c>
      <c r="V203" t="s">
        <v>86</v>
      </c>
      <c r="W203" t="str">
        <f t="shared" si="6"/>
        <v>120mg</v>
      </c>
      <c r="X203" t="s">
        <v>86</v>
      </c>
      <c r="Y203" t="s">
        <v>86</v>
      </c>
      <c r="Z203" t="s">
        <v>86</v>
      </c>
      <c r="AA203" t="s">
        <v>794</v>
      </c>
    </row>
    <row r="204" spans="1:27" x14ac:dyDescent="0.2">
      <c r="A204" t="s">
        <v>782</v>
      </c>
      <c r="B204">
        <v>203</v>
      </c>
      <c r="C204">
        <v>1</v>
      </c>
      <c r="D204" t="s">
        <v>303</v>
      </c>
      <c r="E204" t="s">
        <v>1012</v>
      </c>
      <c r="F204" t="s">
        <v>1123</v>
      </c>
      <c r="G204">
        <v>61</v>
      </c>
      <c r="H204" t="s">
        <v>323</v>
      </c>
      <c r="I204">
        <v>74</v>
      </c>
      <c r="J204" t="s">
        <v>324</v>
      </c>
      <c r="Q204" t="s">
        <v>328</v>
      </c>
      <c r="R204">
        <v>20</v>
      </c>
      <c r="S204" t="s">
        <v>86</v>
      </c>
      <c r="T204" t="str">
        <f t="shared" si="7"/>
        <v>20mg</v>
      </c>
      <c r="U204">
        <v>120</v>
      </c>
      <c r="V204" t="s">
        <v>86</v>
      </c>
      <c r="W204" t="str">
        <f t="shared" si="6"/>
        <v>120mg</v>
      </c>
      <c r="X204" t="s">
        <v>86</v>
      </c>
      <c r="Y204" t="s">
        <v>86</v>
      </c>
      <c r="Z204" t="s">
        <v>86</v>
      </c>
      <c r="AA204" t="s">
        <v>794</v>
      </c>
    </row>
    <row r="205" spans="1:27" x14ac:dyDescent="0.2">
      <c r="A205" t="s">
        <v>782</v>
      </c>
      <c r="B205">
        <v>204</v>
      </c>
      <c r="C205">
        <v>1</v>
      </c>
      <c r="D205" t="s">
        <v>303</v>
      </c>
      <c r="E205" t="s">
        <v>1012</v>
      </c>
      <c r="F205" t="s">
        <v>1124</v>
      </c>
      <c r="G205">
        <v>61</v>
      </c>
      <c r="H205" t="s">
        <v>323</v>
      </c>
      <c r="I205">
        <v>74</v>
      </c>
      <c r="J205" t="s">
        <v>324</v>
      </c>
      <c r="Q205" t="s">
        <v>328</v>
      </c>
      <c r="R205">
        <v>20</v>
      </c>
      <c r="S205" t="s">
        <v>86</v>
      </c>
      <c r="T205" t="str">
        <f t="shared" si="7"/>
        <v>20mg</v>
      </c>
      <c r="U205">
        <v>120</v>
      </c>
      <c r="V205" t="s">
        <v>86</v>
      </c>
      <c r="W205" t="str">
        <f t="shared" si="6"/>
        <v>120mg</v>
      </c>
      <c r="X205" t="s">
        <v>86</v>
      </c>
      <c r="Y205" t="s">
        <v>86</v>
      </c>
      <c r="Z205" t="s">
        <v>86</v>
      </c>
      <c r="AA205" t="s">
        <v>794</v>
      </c>
    </row>
    <row r="206" spans="1:27" x14ac:dyDescent="0.2">
      <c r="A206" t="s">
        <v>782</v>
      </c>
      <c r="B206">
        <v>205</v>
      </c>
      <c r="C206">
        <v>1</v>
      </c>
      <c r="D206" t="s">
        <v>303</v>
      </c>
      <c r="E206" t="s">
        <v>1012</v>
      </c>
      <c r="F206" t="s">
        <v>1125</v>
      </c>
      <c r="G206">
        <v>61</v>
      </c>
      <c r="H206" t="s">
        <v>323</v>
      </c>
      <c r="I206">
        <v>74</v>
      </c>
      <c r="J206" t="s">
        <v>324</v>
      </c>
      <c r="Q206" t="s">
        <v>1126</v>
      </c>
      <c r="R206">
        <v>20</v>
      </c>
      <c r="S206" t="s">
        <v>86</v>
      </c>
      <c r="T206" t="str">
        <f t="shared" si="7"/>
        <v>20mg</v>
      </c>
      <c r="U206">
        <v>120</v>
      </c>
      <c r="V206" t="s">
        <v>86</v>
      </c>
      <c r="W206" t="str">
        <f t="shared" si="6"/>
        <v>120mg</v>
      </c>
      <c r="X206" t="s">
        <v>86</v>
      </c>
      <c r="Y206" t="s">
        <v>86</v>
      </c>
      <c r="Z206" t="s">
        <v>86</v>
      </c>
      <c r="AA206" t="s">
        <v>794</v>
      </c>
    </row>
    <row r="207" spans="1:27" x14ac:dyDescent="0.2">
      <c r="A207" t="s">
        <v>782</v>
      </c>
      <c r="B207">
        <v>206</v>
      </c>
      <c r="C207">
        <v>1</v>
      </c>
      <c r="D207" t="s">
        <v>303</v>
      </c>
      <c r="E207" t="s">
        <v>1012</v>
      </c>
      <c r="F207" t="s">
        <v>1127</v>
      </c>
      <c r="G207">
        <v>71</v>
      </c>
      <c r="H207" t="s">
        <v>361</v>
      </c>
      <c r="I207">
        <v>77</v>
      </c>
      <c r="J207" t="s">
        <v>362</v>
      </c>
      <c r="Q207" t="s">
        <v>851</v>
      </c>
      <c r="R207">
        <v>40</v>
      </c>
      <c r="S207" t="s">
        <v>86</v>
      </c>
      <c r="T207" t="str">
        <f t="shared" si="7"/>
        <v>40mg</v>
      </c>
      <c r="U207">
        <v>320</v>
      </c>
      <c r="V207" t="s">
        <v>86</v>
      </c>
      <c r="W207" t="str">
        <f t="shared" si="6"/>
        <v>320mg</v>
      </c>
      <c r="X207" t="s">
        <v>86</v>
      </c>
      <c r="Y207" t="s">
        <v>86</v>
      </c>
      <c r="Z207" t="s">
        <v>86</v>
      </c>
      <c r="AA207" t="s">
        <v>1034</v>
      </c>
    </row>
    <row r="208" spans="1:27" x14ac:dyDescent="0.2">
      <c r="A208" t="s">
        <v>782</v>
      </c>
      <c r="B208">
        <v>207</v>
      </c>
      <c r="C208">
        <v>1</v>
      </c>
      <c r="D208" t="s">
        <v>303</v>
      </c>
      <c r="E208" t="s">
        <v>1012</v>
      </c>
      <c r="F208" t="s">
        <v>1128</v>
      </c>
      <c r="G208">
        <v>71</v>
      </c>
      <c r="H208" t="s">
        <v>361</v>
      </c>
      <c r="I208">
        <v>77</v>
      </c>
      <c r="J208" t="s">
        <v>362</v>
      </c>
      <c r="Q208" t="s">
        <v>1129</v>
      </c>
      <c r="R208">
        <v>40</v>
      </c>
      <c r="S208" t="s">
        <v>86</v>
      </c>
      <c r="T208" t="str">
        <f t="shared" si="7"/>
        <v>40mg</v>
      </c>
      <c r="U208">
        <v>320</v>
      </c>
      <c r="V208" t="s">
        <v>86</v>
      </c>
      <c r="W208" t="str">
        <f t="shared" si="6"/>
        <v>320mg</v>
      </c>
      <c r="X208" t="s">
        <v>86</v>
      </c>
      <c r="Y208" t="s">
        <v>86</v>
      </c>
      <c r="Z208" t="s">
        <v>86</v>
      </c>
      <c r="AA208" t="s">
        <v>1034</v>
      </c>
    </row>
    <row r="209" spans="1:27" x14ac:dyDescent="0.2">
      <c r="A209" t="s">
        <v>782</v>
      </c>
      <c r="B209">
        <v>208</v>
      </c>
      <c r="C209">
        <v>3</v>
      </c>
      <c r="D209" t="s">
        <v>706</v>
      </c>
      <c r="E209" t="s">
        <v>1012</v>
      </c>
      <c r="F209" t="s">
        <v>1130</v>
      </c>
      <c r="G209">
        <v>71</v>
      </c>
      <c r="H209" t="s">
        <v>361</v>
      </c>
      <c r="I209">
        <v>77</v>
      </c>
      <c r="J209" t="s">
        <v>362</v>
      </c>
      <c r="Q209" t="s">
        <v>1129</v>
      </c>
      <c r="R209">
        <v>15</v>
      </c>
      <c r="S209" t="s">
        <v>86</v>
      </c>
      <c r="T209" t="str">
        <f t="shared" si="7"/>
        <v>15mg</v>
      </c>
      <c r="U209">
        <v>120</v>
      </c>
      <c r="V209" t="s">
        <v>86</v>
      </c>
      <c r="W209" t="str">
        <f t="shared" si="6"/>
        <v>120mg</v>
      </c>
      <c r="X209" t="s">
        <v>86</v>
      </c>
      <c r="Y209" t="s">
        <v>86</v>
      </c>
      <c r="Z209" t="s">
        <v>86</v>
      </c>
      <c r="AA209" t="s">
        <v>1034</v>
      </c>
    </row>
    <row r="210" spans="1:27" x14ac:dyDescent="0.2">
      <c r="A210" t="s">
        <v>782</v>
      </c>
      <c r="B210">
        <v>209</v>
      </c>
      <c r="C210">
        <v>1</v>
      </c>
      <c r="D210" t="s">
        <v>303</v>
      </c>
      <c r="E210" t="s">
        <v>1012</v>
      </c>
      <c r="F210" t="s">
        <v>1131</v>
      </c>
      <c r="G210">
        <v>71</v>
      </c>
      <c r="H210" t="s">
        <v>361</v>
      </c>
      <c r="I210">
        <v>77</v>
      </c>
      <c r="J210" t="s">
        <v>362</v>
      </c>
      <c r="Q210" t="s">
        <v>1132</v>
      </c>
      <c r="R210">
        <v>40</v>
      </c>
      <c r="S210" t="s">
        <v>86</v>
      </c>
      <c r="T210" t="str">
        <f t="shared" si="7"/>
        <v>40mg</v>
      </c>
      <c r="U210">
        <v>320</v>
      </c>
      <c r="V210" t="s">
        <v>86</v>
      </c>
      <c r="W210" t="str">
        <f t="shared" si="6"/>
        <v>320mg</v>
      </c>
      <c r="X210" t="s">
        <v>86</v>
      </c>
      <c r="Y210" t="s">
        <v>86</v>
      </c>
      <c r="Z210" t="s">
        <v>86</v>
      </c>
      <c r="AA210" t="s">
        <v>1034</v>
      </c>
    </row>
    <row r="211" spans="1:27" x14ac:dyDescent="0.2">
      <c r="A211" t="s">
        <v>782</v>
      </c>
      <c r="B211">
        <v>210</v>
      </c>
      <c r="C211">
        <v>1</v>
      </c>
      <c r="D211" t="s">
        <v>303</v>
      </c>
      <c r="E211" t="s">
        <v>1012</v>
      </c>
      <c r="F211" t="s">
        <v>1133</v>
      </c>
      <c r="G211">
        <v>68</v>
      </c>
      <c r="H211" t="s">
        <v>861</v>
      </c>
      <c r="Q211" t="s">
        <v>1134</v>
      </c>
      <c r="R211">
        <v>155</v>
      </c>
      <c r="S211" t="s">
        <v>86</v>
      </c>
      <c r="T211" t="str">
        <f t="shared" si="7"/>
        <v>155mg</v>
      </c>
      <c r="U211" t="s">
        <v>86</v>
      </c>
      <c r="V211" t="s">
        <v>86</v>
      </c>
      <c r="W211" t="str">
        <f t="shared" si="6"/>
        <v>.</v>
      </c>
      <c r="X211" t="s">
        <v>86</v>
      </c>
      <c r="Y211" t="s">
        <v>86</v>
      </c>
      <c r="Z211" t="s">
        <v>86</v>
      </c>
      <c r="AA211" t="s">
        <v>863</v>
      </c>
    </row>
    <row r="212" spans="1:27" x14ac:dyDescent="0.2">
      <c r="A212" t="s">
        <v>782</v>
      </c>
      <c r="B212">
        <v>211</v>
      </c>
      <c r="C212">
        <v>1</v>
      </c>
      <c r="D212" t="s">
        <v>303</v>
      </c>
      <c r="E212" t="s">
        <v>1012</v>
      </c>
      <c r="F212" t="s">
        <v>1135</v>
      </c>
      <c r="G212">
        <v>61</v>
      </c>
      <c r="H212" t="s">
        <v>323</v>
      </c>
      <c r="I212">
        <v>74</v>
      </c>
      <c r="J212" t="s">
        <v>324</v>
      </c>
      <c r="Q212" t="s">
        <v>827</v>
      </c>
      <c r="R212">
        <v>20</v>
      </c>
      <c r="S212" t="s">
        <v>86</v>
      </c>
      <c r="T212" t="str">
        <f t="shared" si="7"/>
        <v>20mg</v>
      </c>
      <c r="U212">
        <v>120</v>
      </c>
      <c r="V212" t="s">
        <v>86</v>
      </c>
      <c r="W212" t="str">
        <f t="shared" si="6"/>
        <v>120mg</v>
      </c>
      <c r="X212" t="s">
        <v>86</v>
      </c>
      <c r="Y212" t="s">
        <v>86</v>
      </c>
      <c r="Z212" t="s">
        <v>86</v>
      </c>
      <c r="AA212" t="s">
        <v>794</v>
      </c>
    </row>
    <row r="213" spans="1:27" x14ac:dyDescent="0.2">
      <c r="A213" t="s">
        <v>782</v>
      </c>
      <c r="B213">
        <v>212</v>
      </c>
      <c r="C213">
        <v>1</v>
      </c>
      <c r="D213" t="s">
        <v>303</v>
      </c>
      <c r="E213" t="s">
        <v>1012</v>
      </c>
      <c r="F213" t="s">
        <v>1136</v>
      </c>
      <c r="G213">
        <v>61</v>
      </c>
      <c r="H213" t="s">
        <v>323</v>
      </c>
      <c r="I213">
        <v>74</v>
      </c>
      <c r="J213" t="s">
        <v>324</v>
      </c>
      <c r="Q213" t="s">
        <v>827</v>
      </c>
      <c r="R213">
        <v>80</v>
      </c>
      <c r="S213" t="s">
        <v>86</v>
      </c>
      <c r="T213" t="str">
        <f t="shared" si="7"/>
        <v>80mg</v>
      </c>
      <c r="U213">
        <v>480</v>
      </c>
      <c r="V213" t="s">
        <v>86</v>
      </c>
      <c r="W213" t="str">
        <f t="shared" si="6"/>
        <v>480mg</v>
      </c>
      <c r="X213" t="s">
        <v>86</v>
      </c>
      <c r="Y213" t="s">
        <v>86</v>
      </c>
      <c r="Z213" t="s">
        <v>86</v>
      </c>
      <c r="AA213" t="s">
        <v>794</v>
      </c>
    </row>
    <row r="214" spans="1:27" x14ac:dyDescent="0.2">
      <c r="A214" t="s">
        <v>782</v>
      </c>
      <c r="B214">
        <v>213</v>
      </c>
      <c r="C214">
        <v>1</v>
      </c>
      <c r="D214" t="s">
        <v>303</v>
      </c>
      <c r="E214" t="s">
        <v>1012</v>
      </c>
      <c r="F214" t="s">
        <v>1137</v>
      </c>
      <c r="G214">
        <v>85</v>
      </c>
      <c r="H214" t="s">
        <v>460</v>
      </c>
      <c r="I214">
        <v>81</v>
      </c>
      <c r="J214" t="s">
        <v>459</v>
      </c>
      <c r="Q214" t="s">
        <v>1089</v>
      </c>
      <c r="R214">
        <v>500</v>
      </c>
      <c r="S214" t="s">
        <v>86</v>
      </c>
      <c r="T214" t="str">
        <f t="shared" si="7"/>
        <v>500mg</v>
      </c>
      <c r="U214">
        <v>25</v>
      </c>
      <c r="V214" t="s">
        <v>86</v>
      </c>
      <c r="W214" t="str">
        <f t="shared" si="6"/>
        <v>25mg</v>
      </c>
      <c r="X214" t="s">
        <v>86</v>
      </c>
      <c r="Y214" t="s">
        <v>86</v>
      </c>
      <c r="Z214" t="s">
        <v>86</v>
      </c>
      <c r="AA214" t="s">
        <v>1016</v>
      </c>
    </row>
    <row r="215" spans="1:27" x14ac:dyDescent="0.2">
      <c r="A215" t="s">
        <v>782</v>
      </c>
      <c r="B215">
        <v>214</v>
      </c>
      <c r="C215">
        <v>1</v>
      </c>
      <c r="D215" t="s">
        <v>303</v>
      </c>
      <c r="E215" t="s">
        <v>1012</v>
      </c>
      <c r="F215" t="s">
        <v>1138</v>
      </c>
      <c r="G215">
        <v>85</v>
      </c>
      <c r="H215" t="s">
        <v>460</v>
      </c>
      <c r="I215">
        <v>81</v>
      </c>
      <c r="J215" t="s">
        <v>459</v>
      </c>
      <c r="Q215" t="s">
        <v>1139</v>
      </c>
      <c r="R215">
        <v>500</v>
      </c>
      <c r="S215" t="s">
        <v>86</v>
      </c>
      <c r="T215" t="str">
        <f t="shared" si="7"/>
        <v>500mg</v>
      </c>
      <c r="U215">
        <v>25</v>
      </c>
      <c r="V215" t="s">
        <v>86</v>
      </c>
      <c r="W215" t="str">
        <f t="shared" si="6"/>
        <v>25mg</v>
      </c>
      <c r="X215" t="s">
        <v>86</v>
      </c>
      <c r="Y215" t="s">
        <v>86</v>
      </c>
      <c r="Z215" t="s">
        <v>86</v>
      </c>
      <c r="AA215" t="s">
        <v>1016</v>
      </c>
    </row>
    <row r="216" spans="1:27" x14ac:dyDescent="0.2">
      <c r="A216" t="s">
        <v>782</v>
      </c>
      <c r="B216">
        <v>215</v>
      </c>
      <c r="C216">
        <v>1</v>
      </c>
      <c r="D216" t="s">
        <v>303</v>
      </c>
      <c r="E216" t="s">
        <v>1012</v>
      </c>
      <c r="F216" t="s">
        <v>1140</v>
      </c>
      <c r="G216">
        <v>61</v>
      </c>
      <c r="H216" t="s">
        <v>323</v>
      </c>
      <c r="I216">
        <v>74</v>
      </c>
      <c r="J216" t="s">
        <v>324</v>
      </c>
      <c r="Q216" t="s">
        <v>1141</v>
      </c>
      <c r="R216">
        <v>20</v>
      </c>
      <c r="S216" t="s">
        <v>86</v>
      </c>
      <c r="T216" t="str">
        <f t="shared" si="7"/>
        <v>20mg</v>
      </c>
      <c r="U216">
        <v>120</v>
      </c>
      <c r="V216" t="s">
        <v>86</v>
      </c>
      <c r="W216" t="str">
        <f t="shared" si="6"/>
        <v>120mg</v>
      </c>
      <c r="X216" t="s">
        <v>86</v>
      </c>
      <c r="Y216" t="s">
        <v>86</v>
      </c>
      <c r="Z216" t="s">
        <v>86</v>
      </c>
      <c r="AA216" t="s">
        <v>794</v>
      </c>
    </row>
    <row r="217" spans="1:27" x14ac:dyDescent="0.2">
      <c r="A217" t="s">
        <v>782</v>
      </c>
      <c r="B217">
        <v>216</v>
      </c>
      <c r="C217">
        <v>1</v>
      </c>
      <c r="D217" t="s">
        <v>303</v>
      </c>
      <c r="E217" t="s">
        <v>1012</v>
      </c>
      <c r="F217" t="s">
        <v>1142</v>
      </c>
      <c r="G217">
        <v>61</v>
      </c>
      <c r="H217" t="s">
        <v>323</v>
      </c>
      <c r="I217">
        <v>74</v>
      </c>
      <c r="J217" t="s">
        <v>324</v>
      </c>
      <c r="Q217" t="s">
        <v>1141</v>
      </c>
      <c r="R217">
        <v>20</v>
      </c>
      <c r="S217" t="s">
        <v>86</v>
      </c>
      <c r="T217" t="str">
        <f t="shared" si="7"/>
        <v>20mg</v>
      </c>
      <c r="U217">
        <v>120</v>
      </c>
      <c r="V217" t="s">
        <v>86</v>
      </c>
      <c r="W217" t="str">
        <f t="shared" si="6"/>
        <v>120mg</v>
      </c>
      <c r="X217" t="s">
        <v>86</v>
      </c>
      <c r="Y217" t="s">
        <v>86</v>
      </c>
      <c r="Z217" t="s">
        <v>86</v>
      </c>
      <c r="AA217" t="s">
        <v>794</v>
      </c>
    </row>
    <row r="218" spans="1:27" x14ac:dyDescent="0.2">
      <c r="A218" t="s">
        <v>782</v>
      </c>
      <c r="B218">
        <v>217</v>
      </c>
      <c r="C218">
        <v>1</v>
      </c>
      <c r="D218" t="s">
        <v>303</v>
      </c>
      <c r="E218" t="s">
        <v>1012</v>
      </c>
      <c r="F218" t="s">
        <v>1143</v>
      </c>
      <c r="G218">
        <v>61</v>
      </c>
      <c r="H218" t="s">
        <v>323</v>
      </c>
      <c r="I218">
        <v>74</v>
      </c>
      <c r="J218" t="s">
        <v>324</v>
      </c>
      <c r="Q218" t="s">
        <v>1141</v>
      </c>
      <c r="R218">
        <v>80</v>
      </c>
      <c r="S218" t="s">
        <v>86</v>
      </c>
      <c r="T218" t="str">
        <f t="shared" si="7"/>
        <v>80mg</v>
      </c>
      <c r="U218">
        <v>480</v>
      </c>
      <c r="V218" t="s">
        <v>86</v>
      </c>
      <c r="W218" t="str">
        <f t="shared" si="6"/>
        <v>480mg</v>
      </c>
      <c r="X218" t="s">
        <v>86</v>
      </c>
      <c r="Y218" t="s">
        <v>86</v>
      </c>
      <c r="Z218" t="s">
        <v>86</v>
      </c>
      <c r="AA218" t="s">
        <v>794</v>
      </c>
    </row>
    <row r="219" spans="1:27" x14ac:dyDescent="0.2">
      <c r="A219" t="s">
        <v>782</v>
      </c>
      <c r="B219">
        <v>218</v>
      </c>
      <c r="C219">
        <v>1</v>
      </c>
      <c r="D219" t="s">
        <v>303</v>
      </c>
      <c r="E219" t="s">
        <v>1012</v>
      </c>
      <c r="F219" t="s">
        <v>1144</v>
      </c>
      <c r="G219">
        <v>68</v>
      </c>
      <c r="H219" t="s">
        <v>861</v>
      </c>
      <c r="Q219" t="s">
        <v>1094</v>
      </c>
      <c r="R219">
        <v>62</v>
      </c>
      <c r="S219" t="s">
        <v>86</v>
      </c>
      <c r="T219" t="str">
        <f t="shared" si="7"/>
        <v>62mg</v>
      </c>
      <c r="U219" t="s">
        <v>86</v>
      </c>
      <c r="V219" t="s">
        <v>86</v>
      </c>
      <c r="W219" t="str">
        <f t="shared" si="6"/>
        <v>.</v>
      </c>
      <c r="X219" t="s">
        <v>86</v>
      </c>
      <c r="Y219" t="s">
        <v>86</v>
      </c>
      <c r="Z219" t="s">
        <v>86</v>
      </c>
      <c r="AA219" t="s">
        <v>863</v>
      </c>
    </row>
    <row r="220" spans="1:27" x14ac:dyDescent="0.2">
      <c r="A220" t="s">
        <v>782</v>
      </c>
      <c r="B220">
        <v>219</v>
      </c>
      <c r="C220">
        <v>1</v>
      </c>
      <c r="D220" t="s">
        <v>303</v>
      </c>
      <c r="E220" t="s">
        <v>1012</v>
      </c>
      <c r="F220" t="s">
        <v>1145</v>
      </c>
      <c r="G220">
        <v>85</v>
      </c>
      <c r="H220" t="s">
        <v>460</v>
      </c>
      <c r="I220">
        <v>81</v>
      </c>
      <c r="J220" t="s">
        <v>459</v>
      </c>
      <c r="Q220" t="s">
        <v>879</v>
      </c>
      <c r="R220">
        <v>500</v>
      </c>
      <c r="S220" t="s">
        <v>86</v>
      </c>
      <c r="T220" t="str">
        <f t="shared" si="7"/>
        <v>500mg</v>
      </c>
      <c r="U220">
        <v>25</v>
      </c>
      <c r="V220" t="s">
        <v>86</v>
      </c>
      <c r="W220" t="str">
        <f t="shared" si="6"/>
        <v>25mg</v>
      </c>
      <c r="X220" t="s">
        <v>86</v>
      </c>
      <c r="Y220" t="s">
        <v>86</v>
      </c>
      <c r="Z220" t="s">
        <v>86</v>
      </c>
      <c r="AA220" t="s">
        <v>1016</v>
      </c>
    </row>
    <row r="221" spans="1:27" x14ac:dyDescent="0.2">
      <c r="A221" t="s">
        <v>782</v>
      </c>
      <c r="B221">
        <v>220</v>
      </c>
      <c r="C221">
        <v>1</v>
      </c>
      <c r="D221" t="s">
        <v>303</v>
      </c>
      <c r="E221" t="s">
        <v>1012</v>
      </c>
      <c r="F221" t="s">
        <v>1146</v>
      </c>
      <c r="G221">
        <v>85</v>
      </c>
      <c r="H221" t="s">
        <v>460</v>
      </c>
      <c r="I221">
        <v>81</v>
      </c>
      <c r="J221" t="s">
        <v>459</v>
      </c>
      <c r="Q221" t="s">
        <v>1147</v>
      </c>
      <c r="R221">
        <v>500</v>
      </c>
      <c r="S221" t="s">
        <v>86</v>
      </c>
      <c r="T221" t="str">
        <f t="shared" si="7"/>
        <v>500mg</v>
      </c>
      <c r="U221">
        <v>25</v>
      </c>
      <c r="V221" t="s">
        <v>86</v>
      </c>
      <c r="W221" t="str">
        <f t="shared" si="6"/>
        <v>25mg</v>
      </c>
      <c r="X221" t="s">
        <v>86</v>
      </c>
      <c r="Y221" t="s">
        <v>86</v>
      </c>
      <c r="Z221" t="s">
        <v>86</v>
      </c>
      <c r="AA221" t="s">
        <v>1016</v>
      </c>
    </row>
    <row r="222" spans="1:27" x14ac:dyDescent="0.2">
      <c r="A222" t="s">
        <v>782</v>
      </c>
      <c r="B222">
        <v>221</v>
      </c>
      <c r="C222">
        <v>1</v>
      </c>
      <c r="D222" t="s">
        <v>303</v>
      </c>
      <c r="E222" t="s">
        <v>1012</v>
      </c>
      <c r="F222" t="s">
        <v>1148</v>
      </c>
      <c r="G222">
        <v>85</v>
      </c>
      <c r="H222" t="s">
        <v>460</v>
      </c>
      <c r="I222">
        <v>81</v>
      </c>
      <c r="J222" t="s">
        <v>459</v>
      </c>
      <c r="Q222" t="s">
        <v>538</v>
      </c>
      <c r="R222">
        <v>500</v>
      </c>
      <c r="S222" t="s">
        <v>86</v>
      </c>
      <c r="T222" t="str">
        <f t="shared" si="7"/>
        <v>500mg</v>
      </c>
      <c r="U222">
        <v>25</v>
      </c>
      <c r="V222" t="s">
        <v>86</v>
      </c>
      <c r="W222" t="str">
        <f t="shared" si="6"/>
        <v>25mg</v>
      </c>
      <c r="X222" t="s">
        <v>86</v>
      </c>
      <c r="Y222" t="s">
        <v>86</v>
      </c>
      <c r="Z222" t="s">
        <v>86</v>
      </c>
      <c r="AA222" t="s">
        <v>1016</v>
      </c>
    </row>
    <row r="223" spans="1:27" x14ac:dyDescent="0.2">
      <c r="A223" t="s">
        <v>782</v>
      </c>
      <c r="B223">
        <v>222</v>
      </c>
      <c r="C223">
        <v>1</v>
      </c>
      <c r="D223" t="s">
        <v>303</v>
      </c>
      <c r="E223" t="s">
        <v>1012</v>
      </c>
      <c r="F223" t="s">
        <v>1149</v>
      </c>
      <c r="G223">
        <v>61</v>
      </c>
      <c r="H223" t="s">
        <v>323</v>
      </c>
      <c r="I223">
        <v>74</v>
      </c>
      <c r="J223" t="s">
        <v>324</v>
      </c>
      <c r="Q223" t="s">
        <v>538</v>
      </c>
      <c r="R223">
        <v>20</v>
      </c>
      <c r="S223" t="s">
        <v>86</v>
      </c>
      <c r="T223" t="str">
        <f t="shared" si="7"/>
        <v>20mg</v>
      </c>
      <c r="U223">
        <v>120</v>
      </c>
      <c r="V223" t="s">
        <v>86</v>
      </c>
      <c r="W223" t="str">
        <f t="shared" si="6"/>
        <v>120mg</v>
      </c>
      <c r="X223" t="s">
        <v>86</v>
      </c>
      <c r="Y223" t="s">
        <v>86</v>
      </c>
      <c r="Z223" t="s">
        <v>86</v>
      </c>
      <c r="AA223" t="s">
        <v>794</v>
      </c>
    </row>
    <row r="224" spans="1:27" x14ac:dyDescent="0.2">
      <c r="A224" t="s">
        <v>782</v>
      </c>
      <c r="B224">
        <v>223</v>
      </c>
      <c r="C224">
        <v>1</v>
      </c>
      <c r="D224" t="s">
        <v>303</v>
      </c>
      <c r="E224" t="s">
        <v>1012</v>
      </c>
      <c r="F224" t="s">
        <v>1150</v>
      </c>
      <c r="G224">
        <v>61</v>
      </c>
      <c r="H224" t="s">
        <v>323</v>
      </c>
      <c r="I224">
        <v>74</v>
      </c>
      <c r="J224" t="s">
        <v>324</v>
      </c>
      <c r="Q224" t="s">
        <v>538</v>
      </c>
      <c r="R224">
        <v>40</v>
      </c>
      <c r="S224" t="s">
        <v>86</v>
      </c>
      <c r="T224" t="str">
        <f t="shared" si="7"/>
        <v>40mg</v>
      </c>
      <c r="U224">
        <v>240</v>
      </c>
      <c r="V224" t="s">
        <v>86</v>
      </c>
      <c r="W224" t="str">
        <f t="shared" si="6"/>
        <v>240mg</v>
      </c>
      <c r="X224" t="s">
        <v>86</v>
      </c>
      <c r="Y224" t="s">
        <v>86</v>
      </c>
      <c r="Z224" t="s">
        <v>86</v>
      </c>
      <c r="AA224" t="s">
        <v>794</v>
      </c>
    </row>
    <row r="225" spans="1:27" x14ac:dyDescent="0.2">
      <c r="A225" t="s">
        <v>782</v>
      </c>
      <c r="B225">
        <v>224</v>
      </c>
      <c r="C225">
        <v>1</v>
      </c>
      <c r="D225" t="s">
        <v>303</v>
      </c>
      <c r="E225" t="s">
        <v>1012</v>
      </c>
      <c r="F225" t="s">
        <v>1151</v>
      </c>
      <c r="G225">
        <v>61</v>
      </c>
      <c r="H225" t="s">
        <v>323</v>
      </c>
      <c r="I225">
        <v>74</v>
      </c>
      <c r="J225" t="s">
        <v>324</v>
      </c>
      <c r="Q225" t="s">
        <v>538</v>
      </c>
      <c r="R225">
        <v>80</v>
      </c>
      <c r="S225" t="s">
        <v>86</v>
      </c>
      <c r="T225" t="str">
        <f t="shared" si="7"/>
        <v>80mg</v>
      </c>
      <c r="U225">
        <v>480</v>
      </c>
      <c r="V225" t="s">
        <v>86</v>
      </c>
      <c r="W225" t="str">
        <f t="shared" si="6"/>
        <v>480mg</v>
      </c>
      <c r="X225" t="s">
        <v>86</v>
      </c>
      <c r="Y225" t="s">
        <v>86</v>
      </c>
      <c r="Z225" t="s">
        <v>86</v>
      </c>
      <c r="AA225" t="s">
        <v>794</v>
      </c>
    </row>
    <row r="226" spans="1:27" x14ac:dyDescent="0.2">
      <c r="A226" t="s">
        <v>782</v>
      </c>
      <c r="B226">
        <v>225</v>
      </c>
      <c r="C226">
        <v>1</v>
      </c>
      <c r="D226" t="s">
        <v>303</v>
      </c>
      <c r="E226" t="s">
        <v>1012</v>
      </c>
      <c r="F226" t="s">
        <v>1152</v>
      </c>
      <c r="G226">
        <v>85</v>
      </c>
      <c r="H226" t="s">
        <v>460</v>
      </c>
      <c r="I226">
        <v>81</v>
      </c>
      <c r="J226" t="s">
        <v>459</v>
      </c>
      <c r="Q226" t="s">
        <v>903</v>
      </c>
      <c r="R226">
        <v>500</v>
      </c>
      <c r="S226" t="s">
        <v>86</v>
      </c>
      <c r="T226" t="str">
        <f t="shared" si="7"/>
        <v>500mg</v>
      </c>
      <c r="U226">
        <v>25</v>
      </c>
      <c r="V226" t="s">
        <v>86</v>
      </c>
      <c r="W226" t="str">
        <f t="shared" si="6"/>
        <v>25mg</v>
      </c>
      <c r="X226" t="s">
        <v>86</v>
      </c>
      <c r="Y226" t="s">
        <v>86</v>
      </c>
      <c r="Z226" t="s">
        <v>86</v>
      </c>
      <c r="AA226" t="s">
        <v>1016</v>
      </c>
    </row>
    <row r="227" spans="1:27" x14ac:dyDescent="0.2">
      <c r="A227" t="s">
        <v>782</v>
      </c>
      <c r="B227">
        <v>226</v>
      </c>
      <c r="C227">
        <v>1</v>
      </c>
      <c r="D227" t="s">
        <v>303</v>
      </c>
      <c r="E227" t="s">
        <v>1012</v>
      </c>
      <c r="F227" t="s">
        <v>1153</v>
      </c>
      <c r="G227">
        <v>61</v>
      </c>
      <c r="H227" t="s">
        <v>323</v>
      </c>
      <c r="I227">
        <v>74</v>
      </c>
      <c r="J227" t="s">
        <v>324</v>
      </c>
      <c r="Q227" t="s">
        <v>825</v>
      </c>
      <c r="R227">
        <v>80</v>
      </c>
      <c r="S227" t="s">
        <v>86</v>
      </c>
      <c r="T227" t="str">
        <f t="shared" si="7"/>
        <v>80mg</v>
      </c>
      <c r="U227">
        <v>480</v>
      </c>
      <c r="V227" t="s">
        <v>86</v>
      </c>
      <c r="W227" t="str">
        <f t="shared" si="6"/>
        <v>480mg</v>
      </c>
      <c r="X227" t="s">
        <v>86</v>
      </c>
      <c r="Y227" t="s">
        <v>86</v>
      </c>
      <c r="Z227" t="s">
        <v>86</v>
      </c>
      <c r="AA227" t="s">
        <v>794</v>
      </c>
    </row>
    <row r="228" spans="1:27" x14ac:dyDescent="0.2">
      <c r="A228" t="s">
        <v>782</v>
      </c>
      <c r="B228">
        <v>227</v>
      </c>
      <c r="C228">
        <v>1</v>
      </c>
      <c r="D228" t="s">
        <v>303</v>
      </c>
      <c r="E228" t="s">
        <v>1012</v>
      </c>
      <c r="F228" t="s">
        <v>1154</v>
      </c>
      <c r="G228">
        <v>61</v>
      </c>
      <c r="H228" t="s">
        <v>323</v>
      </c>
      <c r="I228">
        <v>74</v>
      </c>
      <c r="J228" t="s">
        <v>324</v>
      </c>
      <c r="Q228" t="s">
        <v>838</v>
      </c>
      <c r="R228">
        <v>20</v>
      </c>
      <c r="S228" t="s">
        <v>86</v>
      </c>
      <c r="T228" t="str">
        <f t="shared" si="7"/>
        <v>20mg</v>
      </c>
      <c r="U228">
        <v>120</v>
      </c>
      <c r="V228" t="s">
        <v>86</v>
      </c>
      <c r="W228" t="str">
        <f t="shared" si="6"/>
        <v>120mg</v>
      </c>
      <c r="X228" t="s">
        <v>86</v>
      </c>
      <c r="Y228" t="s">
        <v>86</v>
      </c>
      <c r="Z228" t="s">
        <v>86</v>
      </c>
      <c r="AA228" t="s">
        <v>794</v>
      </c>
    </row>
    <row r="229" spans="1:27" x14ac:dyDescent="0.2">
      <c r="A229" t="s">
        <v>782</v>
      </c>
      <c r="B229">
        <v>228</v>
      </c>
      <c r="C229">
        <v>1</v>
      </c>
      <c r="D229" t="s">
        <v>303</v>
      </c>
      <c r="E229" t="s">
        <v>1012</v>
      </c>
      <c r="F229" t="s">
        <v>1155</v>
      </c>
      <c r="G229">
        <v>61</v>
      </c>
      <c r="H229" t="s">
        <v>323</v>
      </c>
      <c r="I229">
        <v>74</v>
      </c>
      <c r="J229" t="s">
        <v>324</v>
      </c>
      <c r="Q229" t="s">
        <v>825</v>
      </c>
      <c r="R229">
        <v>40</v>
      </c>
      <c r="S229" t="s">
        <v>86</v>
      </c>
      <c r="T229" t="str">
        <f t="shared" si="7"/>
        <v>40mg</v>
      </c>
      <c r="U229">
        <v>240</v>
      </c>
      <c r="V229" t="s">
        <v>86</v>
      </c>
      <c r="W229" t="str">
        <f t="shared" si="6"/>
        <v>240mg</v>
      </c>
      <c r="X229" t="s">
        <v>86</v>
      </c>
      <c r="Y229" t="s">
        <v>86</v>
      </c>
      <c r="Z229" t="s">
        <v>86</v>
      </c>
      <c r="AA229" t="s">
        <v>794</v>
      </c>
    </row>
    <row r="230" spans="1:27" x14ac:dyDescent="0.2">
      <c r="A230" t="s">
        <v>782</v>
      </c>
      <c r="B230">
        <v>229</v>
      </c>
      <c r="C230">
        <v>1</v>
      </c>
      <c r="D230" t="s">
        <v>303</v>
      </c>
      <c r="E230" t="s">
        <v>1012</v>
      </c>
      <c r="F230" t="s">
        <v>1156</v>
      </c>
      <c r="G230">
        <v>61</v>
      </c>
      <c r="H230" t="s">
        <v>323</v>
      </c>
      <c r="I230">
        <v>74</v>
      </c>
      <c r="J230" t="s">
        <v>324</v>
      </c>
      <c r="Q230" t="s">
        <v>838</v>
      </c>
      <c r="R230">
        <v>80</v>
      </c>
      <c r="S230" t="s">
        <v>86</v>
      </c>
      <c r="T230" t="str">
        <f t="shared" si="7"/>
        <v>80mg</v>
      </c>
      <c r="U230">
        <v>480</v>
      </c>
      <c r="V230" t="s">
        <v>86</v>
      </c>
      <c r="W230" t="str">
        <f t="shared" si="6"/>
        <v>480mg</v>
      </c>
      <c r="X230" t="s">
        <v>86</v>
      </c>
      <c r="Y230" t="s">
        <v>86</v>
      </c>
      <c r="Z230" t="s">
        <v>86</v>
      </c>
      <c r="AA230" t="s">
        <v>794</v>
      </c>
    </row>
    <row r="231" spans="1:27" x14ac:dyDescent="0.2">
      <c r="A231" t="s">
        <v>782</v>
      </c>
      <c r="B231">
        <v>230</v>
      </c>
      <c r="C231">
        <v>1</v>
      </c>
      <c r="D231" t="s">
        <v>303</v>
      </c>
      <c r="E231" t="s">
        <v>1012</v>
      </c>
      <c r="F231" t="s">
        <v>1157</v>
      </c>
      <c r="G231">
        <v>61</v>
      </c>
      <c r="H231" t="s">
        <v>323</v>
      </c>
      <c r="I231">
        <v>74</v>
      </c>
      <c r="J231" t="s">
        <v>324</v>
      </c>
      <c r="Q231" t="s">
        <v>1158</v>
      </c>
      <c r="R231">
        <v>20</v>
      </c>
      <c r="S231" t="s">
        <v>86</v>
      </c>
      <c r="T231" t="str">
        <f t="shared" si="7"/>
        <v>20mg</v>
      </c>
      <c r="U231">
        <v>120</v>
      </c>
      <c r="V231" t="s">
        <v>86</v>
      </c>
      <c r="W231" t="str">
        <f t="shared" si="6"/>
        <v>120mg</v>
      </c>
      <c r="X231" t="s">
        <v>86</v>
      </c>
      <c r="Y231" t="s">
        <v>86</v>
      </c>
      <c r="Z231" t="s">
        <v>86</v>
      </c>
      <c r="AA231" t="s">
        <v>794</v>
      </c>
    </row>
    <row r="232" spans="1:27" x14ac:dyDescent="0.2">
      <c r="A232" t="s">
        <v>782</v>
      </c>
      <c r="B232">
        <v>231</v>
      </c>
      <c r="C232">
        <v>1</v>
      </c>
      <c r="D232" t="s">
        <v>303</v>
      </c>
      <c r="E232" t="s">
        <v>1012</v>
      </c>
      <c r="F232" t="s">
        <v>1159</v>
      </c>
      <c r="G232">
        <v>61</v>
      </c>
      <c r="H232" t="s">
        <v>323</v>
      </c>
      <c r="I232">
        <v>74</v>
      </c>
      <c r="J232" t="s">
        <v>324</v>
      </c>
      <c r="Q232" t="s">
        <v>1158</v>
      </c>
      <c r="R232">
        <v>80</v>
      </c>
      <c r="S232" t="s">
        <v>86</v>
      </c>
      <c r="T232" t="str">
        <f t="shared" si="7"/>
        <v>80mg</v>
      </c>
      <c r="U232">
        <v>480</v>
      </c>
      <c r="V232" t="s">
        <v>86</v>
      </c>
      <c r="W232" t="str">
        <f t="shared" si="6"/>
        <v>480mg</v>
      </c>
      <c r="X232" t="s">
        <v>86</v>
      </c>
      <c r="Y232" t="s">
        <v>86</v>
      </c>
      <c r="Z232" t="s">
        <v>86</v>
      </c>
      <c r="AA232" t="s">
        <v>794</v>
      </c>
    </row>
    <row r="233" spans="1:27" x14ac:dyDescent="0.2">
      <c r="A233" t="s">
        <v>782</v>
      </c>
      <c r="B233">
        <v>232</v>
      </c>
      <c r="C233">
        <v>1</v>
      </c>
      <c r="D233" t="s">
        <v>303</v>
      </c>
      <c r="E233" t="s">
        <v>1012</v>
      </c>
      <c r="F233" t="s">
        <v>1160</v>
      </c>
      <c r="G233">
        <v>61</v>
      </c>
      <c r="H233" t="s">
        <v>323</v>
      </c>
      <c r="I233">
        <v>74</v>
      </c>
      <c r="J233" t="s">
        <v>324</v>
      </c>
      <c r="Q233" t="s">
        <v>1161</v>
      </c>
      <c r="R233">
        <v>20</v>
      </c>
      <c r="S233" t="s">
        <v>86</v>
      </c>
      <c r="T233" t="str">
        <f t="shared" si="7"/>
        <v>20mg</v>
      </c>
      <c r="U233">
        <v>120</v>
      </c>
      <c r="V233" t="s">
        <v>86</v>
      </c>
      <c r="W233" t="str">
        <f t="shared" si="6"/>
        <v>120mg</v>
      </c>
      <c r="X233" t="s">
        <v>86</v>
      </c>
      <c r="Y233" t="s">
        <v>86</v>
      </c>
      <c r="Z233" t="s">
        <v>86</v>
      </c>
      <c r="AA233" t="s">
        <v>794</v>
      </c>
    </row>
    <row r="234" spans="1:27" x14ac:dyDescent="0.2">
      <c r="A234" t="s">
        <v>782</v>
      </c>
      <c r="B234">
        <v>233</v>
      </c>
      <c r="C234">
        <v>1</v>
      </c>
      <c r="D234" t="s">
        <v>303</v>
      </c>
      <c r="E234" t="s">
        <v>1012</v>
      </c>
      <c r="F234" t="s">
        <v>1162</v>
      </c>
      <c r="G234">
        <v>61</v>
      </c>
      <c r="H234" t="s">
        <v>323</v>
      </c>
      <c r="I234">
        <v>74</v>
      </c>
      <c r="J234" t="s">
        <v>324</v>
      </c>
      <c r="Q234" t="s">
        <v>1161</v>
      </c>
      <c r="R234">
        <v>40</v>
      </c>
      <c r="S234" t="s">
        <v>86</v>
      </c>
      <c r="T234" t="str">
        <f t="shared" si="7"/>
        <v>40mg</v>
      </c>
      <c r="U234">
        <v>240</v>
      </c>
      <c r="V234" t="s">
        <v>86</v>
      </c>
      <c r="W234" t="str">
        <f t="shared" si="6"/>
        <v>240mg</v>
      </c>
      <c r="X234" t="s">
        <v>86</v>
      </c>
      <c r="Y234" t="s">
        <v>86</v>
      </c>
      <c r="Z234" t="s">
        <v>86</v>
      </c>
      <c r="AA234" t="s">
        <v>794</v>
      </c>
    </row>
    <row r="235" spans="1:27" x14ac:dyDescent="0.2">
      <c r="A235" t="s">
        <v>782</v>
      </c>
      <c r="B235">
        <v>234</v>
      </c>
      <c r="C235">
        <v>1</v>
      </c>
      <c r="D235" t="s">
        <v>303</v>
      </c>
      <c r="E235" t="s">
        <v>1012</v>
      </c>
      <c r="F235" t="s">
        <v>1163</v>
      </c>
      <c r="G235">
        <v>61</v>
      </c>
      <c r="H235" t="s">
        <v>323</v>
      </c>
      <c r="I235">
        <v>74</v>
      </c>
      <c r="J235" t="s">
        <v>324</v>
      </c>
      <c r="Q235" t="s">
        <v>1161</v>
      </c>
      <c r="R235">
        <v>80</v>
      </c>
      <c r="S235" t="s">
        <v>86</v>
      </c>
      <c r="T235" t="str">
        <f t="shared" si="7"/>
        <v>80mg</v>
      </c>
      <c r="U235">
        <v>480</v>
      </c>
      <c r="V235" t="s">
        <v>86</v>
      </c>
      <c r="W235" t="str">
        <f t="shared" si="6"/>
        <v>480mg</v>
      </c>
      <c r="X235" t="s">
        <v>86</v>
      </c>
      <c r="Y235" t="s">
        <v>86</v>
      </c>
      <c r="Z235" t="s">
        <v>86</v>
      </c>
      <c r="AA235" t="s">
        <v>794</v>
      </c>
    </row>
    <row r="236" spans="1:27" x14ac:dyDescent="0.2">
      <c r="A236" t="s">
        <v>782</v>
      </c>
      <c r="B236">
        <v>235</v>
      </c>
      <c r="C236">
        <v>1</v>
      </c>
      <c r="D236" t="s">
        <v>303</v>
      </c>
      <c r="E236" t="s">
        <v>1012</v>
      </c>
      <c r="F236" t="s">
        <v>1164</v>
      </c>
      <c r="G236">
        <v>61</v>
      </c>
      <c r="H236" t="s">
        <v>323</v>
      </c>
      <c r="I236">
        <v>74</v>
      </c>
      <c r="J236" t="s">
        <v>324</v>
      </c>
      <c r="Q236" t="s">
        <v>1165</v>
      </c>
      <c r="R236">
        <v>20</v>
      </c>
      <c r="S236" t="s">
        <v>86</v>
      </c>
      <c r="T236" t="str">
        <f t="shared" si="7"/>
        <v>20mg</v>
      </c>
      <c r="U236">
        <v>120</v>
      </c>
      <c r="V236" t="s">
        <v>86</v>
      </c>
      <c r="W236" t="str">
        <f t="shared" si="6"/>
        <v>120mg</v>
      </c>
      <c r="X236" t="s">
        <v>86</v>
      </c>
      <c r="Y236" t="s">
        <v>86</v>
      </c>
      <c r="Z236" t="s">
        <v>86</v>
      </c>
      <c r="AA236" t="s">
        <v>794</v>
      </c>
    </row>
    <row r="237" spans="1:27" x14ac:dyDescent="0.2">
      <c r="A237" t="s">
        <v>782</v>
      </c>
      <c r="B237">
        <v>236</v>
      </c>
      <c r="C237">
        <v>1</v>
      </c>
      <c r="D237" t="s">
        <v>303</v>
      </c>
      <c r="E237" t="s">
        <v>1012</v>
      </c>
      <c r="F237" t="s">
        <v>1166</v>
      </c>
      <c r="G237">
        <v>61</v>
      </c>
      <c r="H237" t="s">
        <v>323</v>
      </c>
      <c r="I237">
        <v>74</v>
      </c>
      <c r="J237" t="s">
        <v>324</v>
      </c>
      <c r="Q237" t="s">
        <v>1167</v>
      </c>
      <c r="R237">
        <v>20</v>
      </c>
      <c r="S237" t="s">
        <v>86</v>
      </c>
      <c r="T237" t="str">
        <f t="shared" si="7"/>
        <v>20mg</v>
      </c>
      <c r="U237">
        <v>120</v>
      </c>
      <c r="V237" t="s">
        <v>86</v>
      </c>
      <c r="W237" t="str">
        <f t="shared" si="6"/>
        <v>120mg</v>
      </c>
      <c r="X237" t="s">
        <v>86</v>
      </c>
      <c r="Y237" t="s">
        <v>86</v>
      </c>
      <c r="Z237" t="s">
        <v>86</v>
      </c>
      <c r="AA237" t="s">
        <v>794</v>
      </c>
    </row>
    <row r="238" spans="1:27" x14ac:dyDescent="0.2">
      <c r="A238" t="s">
        <v>782</v>
      </c>
      <c r="B238">
        <v>237</v>
      </c>
      <c r="C238">
        <v>1</v>
      </c>
      <c r="D238" t="s">
        <v>303</v>
      </c>
      <c r="E238" t="s">
        <v>1012</v>
      </c>
      <c r="F238" t="s">
        <v>1168</v>
      </c>
      <c r="G238">
        <v>61</v>
      </c>
      <c r="H238" t="s">
        <v>323</v>
      </c>
      <c r="I238">
        <v>74</v>
      </c>
      <c r="J238" t="s">
        <v>324</v>
      </c>
      <c r="Q238" t="s">
        <v>1048</v>
      </c>
      <c r="R238">
        <v>20</v>
      </c>
      <c r="S238" t="s">
        <v>86</v>
      </c>
      <c r="T238" t="str">
        <f t="shared" si="7"/>
        <v>20mg</v>
      </c>
      <c r="U238">
        <v>120</v>
      </c>
      <c r="V238" t="s">
        <v>86</v>
      </c>
      <c r="W238" t="str">
        <f t="shared" si="6"/>
        <v>120mg</v>
      </c>
      <c r="X238" t="s">
        <v>86</v>
      </c>
      <c r="Y238" t="s">
        <v>86</v>
      </c>
      <c r="Z238" t="s">
        <v>86</v>
      </c>
      <c r="AA238" t="s">
        <v>794</v>
      </c>
    </row>
    <row r="239" spans="1:27" x14ac:dyDescent="0.2">
      <c r="A239" t="s">
        <v>782</v>
      </c>
      <c r="B239">
        <v>238</v>
      </c>
      <c r="C239">
        <v>1</v>
      </c>
      <c r="D239" t="s">
        <v>303</v>
      </c>
      <c r="E239" t="s">
        <v>1012</v>
      </c>
      <c r="F239" t="s">
        <v>1169</v>
      </c>
      <c r="G239">
        <v>61</v>
      </c>
      <c r="H239" t="s">
        <v>323</v>
      </c>
      <c r="I239">
        <v>74</v>
      </c>
      <c r="J239" t="s">
        <v>324</v>
      </c>
      <c r="Q239" t="s">
        <v>1048</v>
      </c>
      <c r="R239">
        <v>20</v>
      </c>
      <c r="S239" t="s">
        <v>86</v>
      </c>
      <c r="T239" t="str">
        <f t="shared" si="7"/>
        <v>20mg</v>
      </c>
      <c r="U239">
        <v>120</v>
      </c>
      <c r="V239" t="s">
        <v>86</v>
      </c>
      <c r="W239" t="str">
        <f t="shared" si="6"/>
        <v>120mg</v>
      </c>
      <c r="X239" t="s">
        <v>86</v>
      </c>
      <c r="Y239" t="s">
        <v>86</v>
      </c>
      <c r="Z239" t="s">
        <v>86</v>
      </c>
      <c r="AA239" t="s">
        <v>794</v>
      </c>
    </row>
    <row r="240" spans="1:27" x14ac:dyDescent="0.2">
      <c r="A240" t="s">
        <v>782</v>
      </c>
      <c r="B240">
        <v>239</v>
      </c>
      <c r="C240">
        <v>1</v>
      </c>
      <c r="D240" t="s">
        <v>303</v>
      </c>
      <c r="E240" t="s">
        <v>1012</v>
      </c>
      <c r="F240" t="s">
        <v>1170</v>
      </c>
      <c r="G240">
        <v>61</v>
      </c>
      <c r="H240" t="s">
        <v>323</v>
      </c>
      <c r="I240">
        <v>74</v>
      </c>
      <c r="J240" t="s">
        <v>324</v>
      </c>
      <c r="Q240" t="s">
        <v>1048</v>
      </c>
      <c r="R240">
        <v>20</v>
      </c>
      <c r="S240" t="s">
        <v>86</v>
      </c>
      <c r="T240" t="str">
        <f t="shared" si="7"/>
        <v>20mg</v>
      </c>
      <c r="U240">
        <v>120</v>
      </c>
      <c r="V240" t="s">
        <v>86</v>
      </c>
      <c r="W240" t="str">
        <f t="shared" si="6"/>
        <v>120mg</v>
      </c>
      <c r="X240" t="s">
        <v>86</v>
      </c>
      <c r="Y240" t="s">
        <v>86</v>
      </c>
      <c r="Z240" t="s">
        <v>86</v>
      </c>
      <c r="AA240" t="s">
        <v>794</v>
      </c>
    </row>
    <row r="241" spans="1:27" x14ac:dyDescent="0.2">
      <c r="A241" t="s">
        <v>782</v>
      </c>
      <c r="B241">
        <v>240</v>
      </c>
      <c r="C241">
        <v>1</v>
      </c>
      <c r="D241" t="s">
        <v>303</v>
      </c>
      <c r="E241" t="s">
        <v>1012</v>
      </c>
      <c r="F241" t="s">
        <v>1171</v>
      </c>
      <c r="G241">
        <v>61</v>
      </c>
      <c r="H241" t="s">
        <v>323</v>
      </c>
      <c r="I241">
        <v>74</v>
      </c>
      <c r="J241" t="s">
        <v>324</v>
      </c>
      <c r="Q241" t="s">
        <v>1048</v>
      </c>
      <c r="R241">
        <v>20</v>
      </c>
      <c r="S241" t="s">
        <v>86</v>
      </c>
      <c r="T241" t="str">
        <f t="shared" si="7"/>
        <v>20mg</v>
      </c>
      <c r="U241">
        <v>120</v>
      </c>
      <c r="V241" t="s">
        <v>86</v>
      </c>
      <c r="W241" t="str">
        <f t="shared" si="6"/>
        <v>120mg</v>
      </c>
      <c r="X241" t="s">
        <v>86</v>
      </c>
      <c r="Y241" t="s">
        <v>86</v>
      </c>
      <c r="Z241" t="s">
        <v>86</v>
      </c>
      <c r="AA241" t="s">
        <v>794</v>
      </c>
    </row>
    <row r="242" spans="1:27" x14ac:dyDescent="0.2">
      <c r="A242" t="s">
        <v>782</v>
      </c>
      <c r="B242">
        <v>241</v>
      </c>
      <c r="C242">
        <v>1</v>
      </c>
      <c r="D242" t="s">
        <v>303</v>
      </c>
      <c r="E242" t="s">
        <v>1012</v>
      </c>
      <c r="F242" t="s">
        <v>1172</v>
      </c>
      <c r="G242">
        <v>61</v>
      </c>
      <c r="H242" t="s">
        <v>323</v>
      </c>
      <c r="I242">
        <v>74</v>
      </c>
      <c r="J242" t="s">
        <v>324</v>
      </c>
      <c r="Q242" t="s">
        <v>842</v>
      </c>
      <c r="R242">
        <v>40</v>
      </c>
      <c r="S242" t="s">
        <v>86</v>
      </c>
      <c r="T242" t="str">
        <f t="shared" si="7"/>
        <v>40mg</v>
      </c>
      <c r="U242">
        <v>240</v>
      </c>
      <c r="V242" t="s">
        <v>86</v>
      </c>
      <c r="W242" t="str">
        <f t="shared" si="6"/>
        <v>240mg</v>
      </c>
      <c r="X242" t="s">
        <v>86</v>
      </c>
      <c r="Y242" t="s">
        <v>86</v>
      </c>
      <c r="Z242" t="s">
        <v>86</v>
      </c>
      <c r="AA242" t="s">
        <v>794</v>
      </c>
    </row>
    <row r="243" spans="1:27" x14ac:dyDescent="0.2">
      <c r="A243" t="s">
        <v>782</v>
      </c>
      <c r="B243">
        <v>242</v>
      </c>
      <c r="C243">
        <v>1</v>
      </c>
      <c r="D243" t="s">
        <v>303</v>
      </c>
      <c r="E243" t="s">
        <v>1012</v>
      </c>
      <c r="F243" t="s">
        <v>969</v>
      </c>
      <c r="G243">
        <v>61</v>
      </c>
      <c r="H243" t="s">
        <v>323</v>
      </c>
      <c r="I243">
        <v>74</v>
      </c>
      <c r="J243" t="s">
        <v>324</v>
      </c>
      <c r="Q243" t="s">
        <v>1173</v>
      </c>
      <c r="R243">
        <v>20</v>
      </c>
      <c r="S243" t="s">
        <v>86</v>
      </c>
      <c r="T243" t="str">
        <f t="shared" si="7"/>
        <v>20mg</v>
      </c>
      <c r="U243">
        <v>120</v>
      </c>
      <c r="V243" t="s">
        <v>86</v>
      </c>
      <c r="W243" t="str">
        <f t="shared" si="6"/>
        <v>120mg</v>
      </c>
      <c r="X243" t="s">
        <v>86</v>
      </c>
      <c r="Y243" t="s">
        <v>86</v>
      </c>
      <c r="Z243" t="s">
        <v>86</v>
      </c>
      <c r="AA243" t="s">
        <v>794</v>
      </c>
    </row>
    <row r="244" spans="1:27" x14ac:dyDescent="0.2">
      <c r="A244" t="s">
        <v>782</v>
      </c>
      <c r="B244">
        <v>243</v>
      </c>
      <c r="C244">
        <v>1</v>
      </c>
      <c r="D244" t="s">
        <v>303</v>
      </c>
      <c r="E244" t="s">
        <v>1012</v>
      </c>
      <c r="F244" t="s">
        <v>1174</v>
      </c>
      <c r="G244">
        <v>61</v>
      </c>
      <c r="H244" t="s">
        <v>323</v>
      </c>
      <c r="I244">
        <v>74</v>
      </c>
      <c r="J244" t="s">
        <v>324</v>
      </c>
      <c r="Q244" t="s">
        <v>1173</v>
      </c>
      <c r="R244">
        <v>20</v>
      </c>
      <c r="S244" t="s">
        <v>86</v>
      </c>
      <c r="T244" t="str">
        <f t="shared" si="7"/>
        <v>20mg</v>
      </c>
      <c r="U244">
        <v>120</v>
      </c>
      <c r="V244" t="s">
        <v>86</v>
      </c>
      <c r="W244" t="str">
        <f t="shared" si="6"/>
        <v>120mg</v>
      </c>
      <c r="X244" t="s">
        <v>86</v>
      </c>
      <c r="Y244" t="s">
        <v>86</v>
      </c>
      <c r="Z244" t="s">
        <v>86</v>
      </c>
      <c r="AA244" t="s">
        <v>794</v>
      </c>
    </row>
    <row r="245" spans="1:27" x14ac:dyDescent="0.2">
      <c r="A245" t="s">
        <v>782</v>
      </c>
      <c r="B245">
        <v>244</v>
      </c>
      <c r="C245">
        <v>1</v>
      </c>
      <c r="D245" t="s">
        <v>303</v>
      </c>
      <c r="E245" t="s">
        <v>1012</v>
      </c>
      <c r="F245" t="s">
        <v>1175</v>
      </c>
      <c r="G245">
        <v>61</v>
      </c>
      <c r="H245" t="s">
        <v>323</v>
      </c>
      <c r="I245">
        <v>74</v>
      </c>
      <c r="J245" t="s">
        <v>324</v>
      </c>
      <c r="Q245" t="s">
        <v>1173</v>
      </c>
      <c r="R245">
        <v>20</v>
      </c>
      <c r="S245" t="s">
        <v>86</v>
      </c>
      <c r="T245" t="str">
        <f t="shared" si="7"/>
        <v>20mg</v>
      </c>
      <c r="U245">
        <v>120</v>
      </c>
      <c r="V245" t="s">
        <v>86</v>
      </c>
      <c r="W245" t="str">
        <f t="shared" si="6"/>
        <v>120mg</v>
      </c>
      <c r="X245" t="s">
        <v>86</v>
      </c>
      <c r="Y245" t="s">
        <v>86</v>
      </c>
      <c r="Z245" t="s">
        <v>86</v>
      </c>
      <c r="AA245" t="s">
        <v>794</v>
      </c>
    </row>
    <row r="246" spans="1:27" x14ac:dyDescent="0.2">
      <c r="A246" t="s">
        <v>782</v>
      </c>
      <c r="B246">
        <v>245</v>
      </c>
      <c r="C246">
        <v>1</v>
      </c>
      <c r="D246" t="s">
        <v>303</v>
      </c>
      <c r="E246" t="s">
        <v>1012</v>
      </c>
      <c r="F246" t="s">
        <v>1176</v>
      </c>
      <c r="G246">
        <v>61</v>
      </c>
      <c r="H246" t="s">
        <v>323</v>
      </c>
      <c r="I246">
        <v>74</v>
      </c>
      <c r="J246" t="s">
        <v>324</v>
      </c>
      <c r="Q246" t="s">
        <v>1173</v>
      </c>
      <c r="R246">
        <v>80</v>
      </c>
      <c r="S246" t="s">
        <v>86</v>
      </c>
      <c r="T246" t="str">
        <f t="shared" si="7"/>
        <v>80mg</v>
      </c>
      <c r="U246">
        <v>480</v>
      </c>
      <c r="V246" t="s">
        <v>86</v>
      </c>
      <c r="W246" t="str">
        <f t="shared" si="6"/>
        <v>480mg</v>
      </c>
      <c r="X246" t="s">
        <v>86</v>
      </c>
      <c r="Y246" t="s">
        <v>86</v>
      </c>
      <c r="Z246" t="s">
        <v>86</v>
      </c>
      <c r="AA246" t="s">
        <v>794</v>
      </c>
    </row>
    <row r="247" spans="1:27" x14ac:dyDescent="0.2">
      <c r="A247" t="s">
        <v>782</v>
      </c>
      <c r="B247">
        <v>246</v>
      </c>
      <c r="C247">
        <v>1</v>
      </c>
      <c r="D247" t="s">
        <v>303</v>
      </c>
      <c r="E247" t="s">
        <v>1012</v>
      </c>
      <c r="F247" t="s">
        <v>1177</v>
      </c>
      <c r="G247">
        <v>61</v>
      </c>
      <c r="H247" t="s">
        <v>323</v>
      </c>
      <c r="I247">
        <v>74</v>
      </c>
      <c r="J247" t="s">
        <v>324</v>
      </c>
      <c r="Q247" t="s">
        <v>1173</v>
      </c>
      <c r="R247">
        <v>80</v>
      </c>
      <c r="S247" t="s">
        <v>86</v>
      </c>
      <c r="T247" t="str">
        <f t="shared" si="7"/>
        <v>80mg</v>
      </c>
      <c r="U247">
        <v>480</v>
      </c>
      <c r="V247" t="s">
        <v>86</v>
      </c>
      <c r="W247" t="str">
        <f t="shared" si="6"/>
        <v>480mg</v>
      </c>
      <c r="X247" t="s">
        <v>86</v>
      </c>
      <c r="Y247" t="s">
        <v>86</v>
      </c>
      <c r="Z247" t="s">
        <v>86</v>
      </c>
      <c r="AA247" t="s">
        <v>794</v>
      </c>
    </row>
    <row r="248" spans="1:27" x14ac:dyDescent="0.2">
      <c r="A248" t="s">
        <v>782</v>
      </c>
      <c r="B248">
        <v>247</v>
      </c>
      <c r="C248">
        <v>1</v>
      </c>
      <c r="D248" t="s">
        <v>303</v>
      </c>
      <c r="E248" t="s">
        <v>1012</v>
      </c>
      <c r="F248" t="s">
        <v>1178</v>
      </c>
      <c r="G248">
        <v>61</v>
      </c>
      <c r="H248" t="s">
        <v>323</v>
      </c>
      <c r="I248">
        <v>74</v>
      </c>
      <c r="J248" t="s">
        <v>324</v>
      </c>
      <c r="Q248" t="s">
        <v>1173</v>
      </c>
      <c r="R248">
        <v>20</v>
      </c>
      <c r="S248" t="s">
        <v>86</v>
      </c>
      <c r="T248" t="str">
        <f t="shared" si="7"/>
        <v>20mg</v>
      </c>
      <c r="U248">
        <v>120</v>
      </c>
      <c r="V248" t="s">
        <v>86</v>
      </c>
      <c r="W248" t="str">
        <f t="shared" si="6"/>
        <v>120mg</v>
      </c>
      <c r="X248" t="s">
        <v>86</v>
      </c>
      <c r="Y248" t="s">
        <v>86</v>
      </c>
      <c r="Z248" t="s">
        <v>86</v>
      </c>
      <c r="AA248" t="s">
        <v>794</v>
      </c>
    </row>
    <row r="249" spans="1:27" x14ac:dyDescent="0.2">
      <c r="A249" t="s">
        <v>782</v>
      </c>
      <c r="B249">
        <v>248</v>
      </c>
      <c r="C249">
        <v>1</v>
      </c>
      <c r="D249" t="s">
        <v>303</v>
      </c>
      <c r="E249" t="s">
        <v>1012</v>
      </c>
      <c r="F249" t="s">
        <v>1179</v>
      </c>
      <c r="G249">
        <v>61</v>
      </c>
      <c r="H249" t="s">
        <v>323</v>
      </c>
      <c r="I249">
        <v>74</v>
      </c>
      <c r="J249" t="s">
        <v>324</v>
      </c>
      <c r="Q249" t="s">
        <v>1173</v>
      </c>
      <c r="R249">
        <v>20</v>
      </c>
      <c r="S249" t="s">
        <v>86</v>
      </c>
      <c r="T249" t="str">
        <f t="shared" si="7"/>
        <v>20mg</v>
      </c>
      <c r="U249">
        <v>120</v>
      </c>
      <c r="V249" t="s">
        <v>86</v>
      </c>
      <c r="W249" t="str">
        <f t="shared" si="6"/>
        <v>120mg</v>
      </c>
      <c r="X249" t="s">
        <v>86</v>
      </c>
      <c r="Y249" t="s">
        <v>86</v>
      </c>
      <c r="Z249" t="s">
        <v>86</v>
      </c>
      <c r="AA249" t="s">
        <v>794</v>
      </c>
    </row>
    <row r="250" spans="1:27" x14ac:dyDescent="0.2">
      <c r="A250" t="s">
        <v>782</v>
      </c>
      <c r="B250">
        <v>249</v>
      </c>
      <c r="C250">
        <v>1</v>
      </c>
      <c r="D250" t="s">
        <v>303</v>
      </c>
      <c r="E250" t="s">
        <v>1012</v>
      </c>
      <c r="F250" t="s">
        <v>1180</v>
      </c>
      <c r="G250">
        <v>85</v>
      </c>
      <c r="H250" t="s">
        <v>460</v>
      </c>
      <c r="I250">
        <v>81</v>
      </c>
      <c r="J250" t="s">
        <v>459</v>
      </c>
      <c r="Q250" t="s">
        <v>1181</v>
      </c>
      <c r="R250">
        <v>500</v>
      </c>
      <c r="S250" t="s">
        <v>86</v>
      </c>
      <c r="T250" t="str">
        <f t="shared" si="7"/>
        <v>500mg</v>
      </c>
      <c r="U250">
        <v>25</v>
      </c>
      <c r="V250" t="s">
        <v>86</v>
      </c>
      <c r="W250" t="str">
        <f t="shared" si="6"/>
        <v>25mg</v>
      </c>
      <c r="X250" t="s">
        <v>86</v>
      </c>
      <c r="Y250" t="s">
        <v>86</v>
      </c>
      <c r="Z250" t="s">
        <v>86</v>
      </c>
      <c r="AA250" t="s">
        <v>1016</v>
      </c>
    </row>
    <row r="251" spans="1:27" x14ac:dyDescent="0.2">
      <c r="A251" t="s">
        <v>782</v>
      </c>
      <c r="B251">
        <v>250</v>
      </c>
      <c r="C251">
        <v>1</v>
      </c>
      <c r="D251" t="s">
        <v>303</v>
      </c>
      <c r="E251" t="s">
        <v>1012</v>
      </c>
      <c r="F251" t="s">
        <v>1182</v>
      </c>
      <c r="G251">
        <v>85</v>
      </c>
      <c r="H251" t="s">
        <v>460</v>
      </c>
      <c r="I251">
        <v>81</v>
      </c>
      <c r="J251" t="s">
        <v>459</v>
      </c>
      <c r="Q251" t="s">
        <v>1183</v>
      </c>
      <c r="R251">
        <v>500</v>
      </c>
      <c r="S251" t="s">
        <v>86</v>
      </c>
      <c r="T251" t="str">
        <f t="shared" si="7"/>
        <v>500mg</v>
      </c>
      <c r="U251">
        <v>25</v>
      </c>
      <c r="V251" t="s">
        <v>86</v>
      </c>
      <c r="W251" t="str">
        <f t="shared" si="6"/>
        <v>25mg</v>
      </c>
      <c r="X251" t="s">
        <v>86</v>
      </c>
      <c r="Y251" t="s">
        <v>86</v>
      </c>
      <c r="Z251" t="s">
        <v>86</v>
      </c>
      <c r="AA251" t="s">
        <v>1016</v>
      </c>
    </row>
    <row r="252" spans="1:27" x14ac:dyDescent="0.2">
      <c r="A252" t="s">
        <v>782</v>
      </c>
      <c r="B252">
        <v>251</v>
      </c>
      <c r="C252">
        <v>1</v>
      </c>
      <c r="D252" t="s">
        <v>303</v>
      </c>
      <c r="E252" t="s">
        <v>1012</v>
      </c>
      <c r="F252" t="s">
        <v>1184</v>
      </c>
      <c r="G252">
        <v>71</v>
      </c>
      <c r="H252" t="s">
        <v>361</v>
      </c>
      <c r="I252">
        <v>77</v>
      </c>
      <c r="J252" t="s">
        <v>362</v>
      </c>
      <c r="Q252" t="s">
        <v>1185</v>
      </c>
      <c r="R252">
        <v>40</v>
      </c>
      <c r="S252" t="s">
        <v>86</v>
      </c>
      <c r="T252" t="str">
        <f t="shared" si="7"/>
        <v>40mg</v>
      </c>
      <c r="U252">
        <v>320</v>
      </c>
      <c r="V252" t="s">
        <v>86</v>
      </c>
      <c r="W252" t="str">
        <f t="shared" si="6"/>
        <v>320mg</v>
      </c>
      <c r="X252" t="s">
        <v>86</v>
      </c>
      <c r="Y252" t="s">
        <v>86</v>
      </c>
      <c r="Z252" t="s">
        <v>86</v>
      </c>
      <c r="AA252" t="s">
        <v>1034</v>
      </c>
    </row>
    <row r="253" spans="1:27" x14ac:dyDescent="0.2">
      <c r="A253" t="s">
        <v>782</v>
      </c>
      <c r="B253">
        <v>252</v>
      </c>
      <c r="C253">
        <v>1</v>
      </c>
      <c r="D253" t="s">
        <v>303</v>
      </c>
      <c r="E253" t="s">
        <v>1012</v>
      </c>
      <c r="F253" t="s">
        <v>1186</v>
      </c>
      <c r="G253">
        <v>85</v>
      </c>
      <c r="H253" t="s">
        <v>460</v>
      </c>
      <c r="I253">
        <v>81</v>
      </c>
      <c r="J253" t="s">
        <v>459</v>
      </c>
      <c r="Q253" t="s">
        <v>1187</v>
      </c>
      <c r="R253">
        <v>500</v>
      </c>
      <c r="S253" t="s">
        <v>86</v>
      </c>
      <c r="T253" t="str">
        <f t="shared" si="7"/>
        <v>500mg</v>
      </c>
      <c r="U253">
        <v>25</v>
      </c>
      <c r="V253" t="s">
        <v>86</v>
      </c>
      <c r="W253" t="str">
        <f t="shared" si="6"/>
        <v>25mg</v>
      </c>
      <c r="X253" t="s">
        <v>86</v>
      </c>
      <c r="Y253" t="s">
        <v>86</v>
      </c>
      <c r="Z253" t="s">
        <v>86</v>
      </c>
      <c r="AA253" t="s">
        <v>1016</v>
      </c>
    </row>
    <row r="254" spans="1:27" x14ac:dyDescent="0.2">
      <c r="A254" t="s">
        <v>782</v>
      </c>
      <c r="B254">
        <v>253</v>
      </c>
      <c r="C254">
        <v>1</v>
      </c>
      <c r="D254" t="s">
        <v>303</v>
      </c>
      <c r="E254" t="s">
        <v>1012</v>
      </c>
      <c r="F254" t="s">
        <v>1188</v>
      </c>
      <c r="G254">
        <v>85</v>
      </c>
      <c r="H254" t="s">
        <v>460</v>
      </c>
      <c r="I254">
        <v>81</v>
      </c>
      <c r="J254" t="s">
        <v>459</v>
      </c>
      <c r="Q254" t="s">
        <v>1098</v>
      </c>
      <c r="R254">
        <v>500</v>
      </c>
      <c r="S254" t="s">
        <v>86</v>
      </c>
      <c r="T254" t="str">
        <f t="shared" si="7"/>
        <v>500mg</v>
      </c>
      <c r="U254">
        <v>25</v>
      </c>
      <c r="V254" t="s">
        <v>86</v>
      </c>
      <c r="W254" t="str">
        <f t="shared" si="6"/>
        <v>25mg</v>
      </c>
      <c r="X254" t="s">
        <v>86</v>
      </c>
      <c r="Y254" t="s">
        <v>86</v>
      </c>
      <c r="Z254" t="s">
        <v>86</v>
      </c>
      <c r="AA254" t="s">
        <v>1016</v>
      </c>
    </row>
    <row r="255" spans="1:27" x14ac:dyDescent="0.2">
      <c r="A255" t="s">
        <v>782</v>
      </c>
      <c r="B255">
        <v>254</v>
      </c>
      <c r="C255">
        <v>1</v>
      </c>
      <c r="D255" t="s">
        <v>303</v>
      </c>
      <c r="E255" t="s">
        <v>1012</v>
      </c>
      <c r="F255" t="s">
        <v>1189</v>
      </c>
      <c r="G255">
        <v>61</v>
      </c>
      <c r="H255" t="s">
        <v>323</v>
      </c>
      <c r="I255">
        <v>74</v>
      </c>
      <c r="J255" t="s">
        <v>324</v>
      </c>
      <c r="Q255" t="s">
        <v>1190</v>
      </c>
      <c r="R255">
        <v>20</v>
      </c>
      <c r="S255" t="s">
        <v>86</v>
      </c>
      <c r="T255" t="str">
        <f t="shared" si="7"/>
        <v>20mg</v>
      </c>
      <c r="U255">
        <v>120</v>
      </c>
      <c r="V255" t="s">
        <v>86</v>
      </c>
      <c r="W255" t="str">
        <f t="shared" si="6"/>
        <v>120mg</v>
      </c>
      <c r="X255" t="s">
        <v>86</v>
      </c>
      <c r="Y255" t="s">
        <v>86</v>
      </c>
      <c r="Z255" t="s">
        <v>86</v>
      </c>
      <c r="AA255" t="s">
        <v>794</v>
      </c>
    </row>
    <row r="256" spans="1:27" x14ac:dyDescent="0.2">
      <c r="A256" t="s">
        <v>782</v>
      </c>
      <c r="B256">
        <v>255</v>
      </c>
      <c r="C256">
        <v>1</v>
      </c>
      <c r="D256" t="s">
        <v>303</v>
      </c>
      <c r="E256" t="s">
        <v>1012</v>
      </c>
      <c r="F256" t="s">
        <v>1191</v>
      </c>
      <c r="G256">
        <v>85</v>
      </c>
      <c r="H256" t="s">
        <v>460</v>
      </c>
      <c r="I256">
        <v>81</v>
      </c>
      <c r="J256" t="s">
        <v>459</v>
      </c>
      <c r="Q256" t="s">
        <v>1069</v>
      </c>
      <c r="R256">
        <v>500</v>
      </c>
      <c r="S256" t="s">
        <v>86</v>
      </c>
      <c r="T256" t="str">
        <f t="shared" si="7"/>
        <v>500mg</v>
      </c>
      <c r="U256">
        <v>25</v>
      </c>
      <c r="V256" t="s">
        <v>86</v>
      </c>
      <c r="W256" t="str">
        <f t="shared" ref="W256:W319" si="8">IF(U256=".",".",IF(V256=".",_xlfn.CONCAT(U256,"mg"),_xlfn.CONCAT(U256,"mg/ ",V256,"ml")))</f>
        <v>25mg</v>
      </c>
      <c r="X256" t="s">
        <v>86</v>
      </c>
      <c r="Y256" t="s">
        <v>86</v>
      </c>
      <c r="Z256" t="s">
        <v>86</v>
      </c>
      <c r="AA256" t="s">
        <v>1016</v>
      </c>
    </row>
    <row r="257" spans="1:27" x14ac:dyDescent="0.2">
      <c r="A257" t="s">
        <v>782</v>
      </c>
      <c r="B257">
        <v>256</v>
      </c>
      <c r="C257">
        <v>1</v>
      </c>
      <c r="D257" t="s">
        <v>303</v>
      </c>
      <c r="E257" t="s">
        <v>1012</v>
      </c>
      <c r="F257" t="s">
        <v>1192</v>
      </c>
      <c r="G257">
        <v>66</v>
      </c>
      <c r="H257" t="s">
        <v>1193</v>
      </c>
      <c r="I257">
        <v>79</v>
      </c>
      <c r="J257" t="s">
        <v>1194</v>
      </c>
      <c r="Q257" t="s">
        <v>1113</v>
      </c>
      <c r="R257">
        <v>250</v>
      </c>
      <c r="S257" t="s">
        <v>86</v>
      </c>
      <c r="T257" t="str">
        <f t="shared" si="7"/>
        <v>250mg</v>
      </c>
      <c r="U257">
        <v>87</v>
      </c>
      <c r="V257" t="s">
        <v>86</v>
      </c>
      <c r="W257" t="str">
        <f t="shared" si="8"/>
        <v>87mg</v>
      </c>
      <c r="X257" t="s">
        <v>86</v>
      </c>
      <c r="Y257" t="s">
        <v>86</v>
      </c>
      <c r="Z257" t="s">
        <v>86</v>
      </c>
      <c r="AA257" t="s">
        <v>1195</v>
      </c>
    </row>
    <row r="258" spans="1:27" x14ac:dyDescent="0.2">
      <c r="A258" t="s">
        <v>782</v>
      </c>
      <c r="B258">
        <v>257</v>
      </c>
      <c r="C258">
        <v>1</v>
      </c>
      <c r="D258" t="s">
        <v>303</v>
      </c>
      <c r="E258" t="s">
        <v>1012</v>
      </c>
      <c r="F258" t="s">
        <v>1196</v>
      </c>
      <c r="G258">
        <v>85</v>
      </c>
      <c r="H258" t="s">
        <v>460</v>
      </c>
      <c r="I258">
        <v>81</v>
      </c>
      <c r="J258" t="s">
        <v>459</v>
      </c>
      <c r="Q258" t="s">
        <v>1197</v>
      </c>
      <c r="R258">
        <v>500</v>
      </c>
      <c r="S258" t="s">
        <v>86</v>
      </c>
      <c r="T258" t="str">
        <f t="shared" si="7"/>
        <v>500mg</v>
      </c>
      <c r="U258">
        <v>25</v>
      </c>
      <c r="V258" t="s">
        <v>86</v>
      </c>
      <c r="W258" t="str">
        <f t="shared" si="8"/>
        <v>25mg</v>
      </c>
      <c r="X258" t="s">
        <v>86</v>
      </c>
      <c r="Y258" t="s">
        <v>86</v>
      </c>
      <c r="Z258" t="s">
        <v>86</v>
      </c>
      <c r="AA258" t="s">
        <v>1016</v>
      </c>
    </row>
    <row r="259" spans="1:27" x14ac:dyDescent="0.2">
      <c r="A259" t="s">
        <v>782</v>
      </c>
      <c r="B259">
        <v>258</v>
      </c>
      <c r="C259">
        <v>1</v>
      </c>
      <c r="D259" t="s">
        <v>303</v>
      </c>
      <c r="E259" t="s">
        <v>1012</v>
      </c>
      <c r="F259" t="s">
        <v>1198</v>
      </c>
      <c r="G259">
        <v>85</v>
      </c>
      <c r="H259" t="s">
        <v>460</v>
      </c>
      <c r="I259">
        <v>81</v>
      </c>
      <c r="J259" t="s">
        <v>459</v>
      </c>
      <c r="Q259" t="s">
        <v>1187</v>
      </c>
      <c r="R259">
        <v>500</v>
      </c>
      <c r="S259" t="s">
        <v>86</v>
      </c>
      <c r="T259" t="str">
        <f t="shared" ref="T259:T322" si="9">IF(S259=".",_xlfn.CONCAT(R259,"mg"),_xlfn.CONCAT(R259,"mg/ ",S259,"ml"))</f>
        <v>500mg</v>
      </c>
      <c r="U259">
        <v>25</v>
      </c>
      <c r="V259" t="s">
        <v>86</v>
      </c>
      <c r="W259" t="str">
        <f t="shared" si="8"/>
        <v>25mg</v>
      </c>
      <c r="X259" t="s">
        <v>86</v>
      </c>
      <c r="Y259" t="s">
        <v>86</v>
      </c>
      <c r="Z259" t="s">
        <v>86</v>
      </c>
      <c r="AA259" t="s">
        <v>1016</v>
      </c>
    </row>
    <row r="260" spans="1:27" x14ac:dyDescent="0.2">
      <c r="A260" t="s">
        <v>782</v>
      </c>
      <c r="B260">
        <v>259</v>
      </c>
      <c r="C260">
        <v>1</v>
      </c>
      <c r="D260" t="s">
        <v>303</v>
      </c>
      <c r="E260" t="s">
        <v>1012</v>
      </c>
      <c r="F260" t="s">
        <v>1199</v>
      </c>
      <c r="G260">
        <v>85</v>
      </c>
      <c r="H260" t="s">
        <v>460</v>
      </c>
      <c r="I260">
        <v>81</v>
      </c>
      <c r="J260" t="s">
        <v>459</v>
      </c>
      <c r="Q260" t="s">
        <v>793</v>
      </c>
      <c r="R260">
        <v>500</v>
      </c>
      <c r="S260" t="s">
        <v>86</v>
      </c>
      <c r="T260" t="str">
        <f t="shared" si="9"/>
        <v>500mg</v>
      </c>
      <c r="U260">
        <v>25</v>
      </c>
      <c r="V260" t="s">
        <v>86</v>
      </c>
      <c r="W260" t="str">
        <f t="shared" si="8"/>
        <v>25mg</v>
      </c>
      <c r="X260" t="s">
        <v>86</v>
      </c>
      <c r="Y260" t="s">
        <v>86</v>
      </c>
      <c r="Z260" t="s">
        <v>86</v>
      </c>
      <c r="AA260" t="s">
        <v>1016</v>
      </c>
    </row>
    <row r="261" spans="1:27" x14ac:dyDescent="0.2">
      <c r="A261" t="s">
        <v>782</v>
      </c>
      <c r="B261">
        <v>260</v>
      </c>
      <c r="C261">
        <v>1</v>
      </c>
      <c r="D261" t="s">
        <v>303</v>
      </c>
      <c r="E261" t="s">
        <v>1012</v>
      </c>
      <c r="F261" t="s">
        <v>1200</v>
      </c>
      <c r="G261">
        <v>75</v>
      </c>
      <c r="H261" t="s">
        <v>1056</v>
      </c>
      <c r="Q261" t="s">
        <v>1057</v>
      </c>
      <c r="R261">
        <v>250</v>
      </c>
      <c r="S261" t="s">
        <v>86</v>
      </c>
      <c r="T261" t="str">
        <f t="shared" si="9"/>
        <v>250mg</v>
      </c>
      <c r="U261" t="s">
        <v>86</v>
      </c>
      <c r="V261" t="s">
        <v>86</v>
      </c>
      <c r="W261" t="str">
        <f t="shared" si="8"/>
        <v>.</v>
      </c>
      <c r="X261" t="s">
        <v>86</v>
      </c>
      <c r="Y261" t="s">
        <v>86</v>
      </c>
      <c r="Z261" t="s">
        <v>86</v>
      </c>
      <c r="AA261" t="s">
        <v>1201</v>
      </c>
    </row>
    <row r="262" spans="1:27" x14ac:dyDescent="0.2">
      <c r="A262" t="s">
        <v>782</v>
      </c>
      <c r="B262">
        <v>261</v>
      </c>
      <c r="C262">
        <v>1</v>
      </c>
      <c r="D262" t="s">
        <v>303</v>
      </c>
      <c r="E262" t="s">
        <v>1012</v>
      </c>
      <c r="F262" t="s">
        <v>1202</v>
      </c>
      <c r="G262">
        <v>68</v>
      </c>
      <c r="H262" t="s">
        <v>861</v>
      </c>
      <c r="Q262" t="s">
        <v>1100</v>
      </c>
      <c r="R262">
        <v>100</v>
      </c>
      <c r="S262" t="s">
        <v>86</v>
      </c>
      <c r="T262" t="str">
        <f t="shared" si="9"/>
        <v>100mg</v>
      </c>
      <c r="U262" t="s">
        <v>86</v>
      </c>
      <c r="V262" t="s">
        <v>86</v>
      </c>
      <c r="W262" t="str">
        <f t="shared" si="8"/>
        <v>.</v>
      </c>
      <c r="X262" t="s">
        <v>86</v>
      </c>
      <c r="Y262" t="s">
        <v>86</v>
      </c>
      <c r="Z262" t="s">
        <v>86</v>
      </c>
      <c r="AA262" t="s">
        <v>863</v>
      </c>
    </row>
    <row r="263" spans="1:27" x14ac:dyDescent="0.2">
      <c r="A263" t="s">
        <v>782</v>
      </c>
      <c r="B263">
        <v>262</v>
      </c>
      <c r="C263">
        <v>1</v>
      </c>
      <c r="D263" t="s">
        <v>303</v>
      </c>
      <c r="E263" t="s">
        <v>1012</v>
      </c>
      <c r="F263" t="s">
        <v>1203</v>
      </c>
      <c r="G263">
        <v>68</v>
      </c>
      <c r="H263" t="s">
        <v>861</v>
      </c>
      <c r="Q263" t="s">
        <v>1096</v>
      </c>
      <c r="R263">
        <v>100</v>
      </c>
      <c r="S263" t="s">
        <v>86</v>
      </c>
      <c r="T263" t="str">
        <f t="shared" si="9"/>
        <v>100mg</v>
      </c>
      <c r="U263" t="s">
        <v>86</v>
      </c>
      <c r="V263" t="s">
        <v>86</v>
      </c>
      <c r="W263" t="str">
        <f t="shared" si="8"/>
        <v>.</v>
      </c>
      <c r="X263" t="s">
        <v>86</v>
      </c>
      <c r="Y263" t="s">
        <v>86</v>
      </c>
      <c r="Z263" t="s">
        <v>86</v>
      </c>
      <c r="AA263" t="s">
        <v>863</v>
      </c>
    </row>
    <row r="264" spans="1:27" x14ac:dyDescent="0.2">
      <c r="A264" t="s">
        <v>782</v>
      </c>
      <c r="B264">
        <v>263</v>
      </c>
      <c r="C264">
        <v>1</v>
      </c>
      <c r="D264" t="s">
        <v>303</v>
      </c>
      <c r="E264" t="s">
        <v>1012</v>
      </c>
      <c r="F264" t="s">
        <v>1204</v>
      </c>
      <c r="G264">
        <v>71</v>
      </c>
      <c r="H264" t="s">
        <v>361</v>
      </c>
      <c r="I264">
        <v>77</v>
      </c>
      <c r="J264" t="s">
        <v>362</v>
      </c>
      <c r="Q264" t="s">
        <v>825</v>
      </c>
      <c r="R264">
        <v>40</v>
      </c>
      <c r="S264" t="s">
        <v>86</v>
      </c>
      <c r="T264" t="str">
        <f t="shared" si="9"/>
        <v>40mg</v>
      </c>
      <c r="U264">
        <v>320</v>
      </c>
      <c r="V264" t="s">
        <v>86</v>
      </c>
      <c r="W264" t="str">
        <f t="shared" si="8"/>
        <v>320mg</v>
      </c>
      <c r="X264" t="s">
        <v>86</v>
      </c>
      <c r="Y264" t="s">
        <v>86</v>
      </c>
      <c r="Z264" t="s">
        <v>86</v>
      </c>
      <c r="AA264" t="s">
        <v>1034</v>
      </c>
    </row>
    <row r="265" spans="1:27" x14ac:dyDescent="0.2">
      <c r="A265" t="s">
        <v>782</v>
      </c>
      <c r="B265">
        <v>264</v>
      </c>
      <c r="C265">
        <v>1</v>
      </c>
      <c r="D265" t="s">
        <v>303</v>
      </c>
      <c r="E265" t="s">
        <v>1012</v>
      </c>
      <c r="F265" t="s">
        <v>1205</v>
      </c>
      <c r="G265">
        <v>85</v>
      </c>
      <c r="H265" t="s">
        <v>460</v>
      </c>
      <c r="I265">
        <v>81</v>
      </c>
      <c r="J265" t="s">
        <v>459</v>
      </c>
      <c r="Q265" t="s">
        <v>906</v>
      </c>
      <c r="R265">
        <v>500</v>
      </c>
      <c r="S265" t="s">
        <v>86</v>
      </c>
      <c r="T265" t="str">
        <f t="shared" si="9"/>
        <v>500mg</v>
      </c>
      <c r="U265">
        <v>25</v>
      </c>
      <c r="V265" t="s">
        <v>86</v>
      </c>
      <c r="W265" t="str">
        <f t="shared" si="8"/>
        <v>25mg</v>
      </c>
      <c r="X265" t="s">
        <v>86</v>
      </c>
      <c r="Y265" t="s">
        <v>86</v>
      </c>
      <c r="Z265" t="s">
        <v>86</v>
      </c>
      <c r="AA265" t="s">
        <v>1016</v>
      </c>
    </row>
    <row r="266" spans="1:27" x14ac:dyDescent="0.2">
      <c r="A266" t="s">
        <v>782</v>
      </c>
      <c r="B266">
        <v>265</v>
      </c>
      <c r="C266">
        <v>1</v>
      </c>
      <c r="D266" t="s">
        <v>303</v>
      </c>
      <c r="E266" t="s">
        <v>1012</v>
      </c>
      <c r="F266" t="s">
        <v>1206</v>
      </c>
      <c r="G266">
        <v>73</v>
      </c>
      <c r="H266" t="s">
        <v>1207</v>
      </c>
      <c r="Q266" t="s">
        <v>901</v>
      </c>
      <c r="R266">
        <v>200</v>
      </c>
      <c r="S266" t="s">
        <v>86</v>
      </c>
      <c r="T266" t="str">
        <f t="shared" si="9"/>
        <v>200mg</v>
      </c>
      <c r="U266" t="s">
        <v>86</v>
      </c>
      <c r="V266" t="s">
        <v>86</v>
      </c>
      <c r="W266" t="str">
        <f t="shared" si="8"/>
        <v>.</v>
      </c>
      <c r="X266" t="s">
        <v>86</v>
      </c>
      <c r="Y266" t="s">
        <v>86</v>
      </c>
      <c r="Z266" t="s">
        <v>86</v>
      </c>
      <c r="AA266" t="s">
        <v>1208</v>
      </c>
    </row>
    <row r="267" spans="1:27" ht="25" customHeight="1" x14ac:dyDescent="0.2">
      <c r="A267" t="s">
        <v>782</v>
      </c>
      <c r="B267">
        <v>266</v>
      </c>
      <c r="C267">
        <v>2</v>
      </c>
      <c r="D267" t="s">
        <v>1017</v>
      </c>
      <c r="E267" t="s">
        <v>1012</v>
      </c>
      <c r="F267" t="s">
        <v>1209</v>
      </c>
      <c r="G267">
        <v>65</v>
      </c>
      <c r="H267" t="s">
        <v>418</v>
      </c>
      <c r="Q267" t="s">
        <v>1057</v>
      </c>
      <c r="R267">
        <v>200</v>
      </c>
      <c r="S267" t="s">
        <v>86</v>
      </c>
      <c r="T267" t="str">
        <f t="shared" si="9"/>
        <v>200mg</v>
      </c>
      <c r="U267" t="s">
        <v>86</v>
      </c>
      <c r="V267" t="s">
        <v>86</v>
      </c>
      <c r="W267" t="str">
        <f t="shared" si="8"/>
        <v>.</v>
      </c>
      <c r="X267" t="s">
        <v>86</v>
      </c>
      <c r="Y267" t="s">
        <v>86</v>
      </c>
      <c r="Z267" t="s">
        <v>86</v>
      </c>
      <c r="AA267" t="s">
        <v>852</v>
      </c>
    </row>
    <row r="268" spans="1:27" x14ac:dyDescent="0.2">
      <c r="A268" t="s">
        <v>782</v>
      </c>
      <c r="B268">
        <v>267</v>
      </c>
      <c r="C268">
        <v>2</v>
      </c>
      <c r="D268" t="s">
        <v>1017</v>
      </c>
      <c r="E268" t="s">
        <v>1012</v>
      </c>
      <c r="F268" t="s">
        <v>1210</v>
      </c>
      <c r="G268">
        <v>65</v>
      </c>
      <c r="H268" t="s">
        <v>418</v>
      </c>
      <c r="Q268" t="s">
        <v>1057</v>
      </c>
      <c r="R268">
        <v>50</v>
      </c>
      <c r="S268" t="s">
        <v>86</v>
      </c>
      <c r="T268" t="str">
        <f t="shared" si="9"/>
        <v>50mg</v>
      </c>
      <c r="U268" t="s">
        <v>86</v>
      </c>
      <c r="V268" t="s">
        <v>86</v>
      </c>
      <c r="W268" t="str">
        <f t="shared" si="8"/>
        <v>.</v>
      </c>
      <c r="X268" t="s">
        <v>86</v>
      </c>
      <c r="Y268" t="s">
        <v>86</v>
      </c>
      <c r="Z268" t="s">
        <v>86</v>
      </c>
      <c r="AA268" t="s">
        <v>852</v>
      </c>
    </row>
    <row r="269" spans="1:27" x14ac:dyDescent="0.2">
      <c r="A269" t="s">
        <v>782</v>
      </c>
      <c r="B269">
        <v>268</v>
      </c>
      <c r="C269">
        <v>1</v>
      </c>
      <c r="D269" t="s">
        <v>303</v>
      </c>
      <c r="E269" t="s">
        <v>1012</v>
      </c>
      <c r="F269" t="s">
        <v>1211</v>
      </c>
      <c r="G269">
        <v>61</v>
      </c>
      <c r="H269" t="s">
        <v>323</v>
      </c>
      <c r="I269">
        <v>74</v>
      </c>
      <c r="J269" t="s">
        <v>324</v>
      </c>
      <c r="Q269" t="s">
        <v>1212</v>
      </c>
      <c r="R269">
        <v>20</v>
      </c>
      <c r="S269" t="s">
        <v>86</v>
      </c>
      <c r="T269" t="str">
        <f t="shared" si="9"/>
        <v>20mg</v>
      </c>
      <c r="U269">
        <v>120</v>
      </c>
      <c r="V269" t="s">
        <v>86</v>
      </c>
      <c r="W269" t="str">
        <f t="shared" si="8"/>
        <v>120mg</v>
      </c>
      <c r="X269" t="s">
        <v>86</v>
      </c>
      <c r="Y269" t="s">
        <v>86</v>
      </c>
      <c r="Z269" t="s">
        <v>86</v>
      </c>
      <c r="AA269" t="s">
        <v>794</v>
      </c>
    </row>
    <row r="270" spans="1:27" x14ac:dyDescent="0.2">
      <c r="A270" t="s">
        <v>782</v>
      </c>
      <c r="B270">
        <v>269</v>
      </c>
      <c r="C270">
        <v>1</v>
      </c>
      <c r="D270" t="s">
        <v>303</v>
      </c>
      <c r="E270" t="s">
        <v>1012</v>
      </c>
      <c r="F270" t="s">
        <v>1213</v>
      </c>
      <c r="G270">
        <v>61</v>
      </c>
      <c r="H270" t="s">
        <v>323</v>
      </c>
      <c r="I270">
        <v>74</v>
      </c>
      <c r="J270" t="s">
        <v>324</v>
      </c>
      <c r="Q270" t="s">
        <v>1212</v>
      </c>
      <c r="R270">
        <v>40</v>
      </c>
      <c r="S270" t="s">
        <v>86</v>
      </c>
      <c r="T270" t="str">
        <f t="shared" si="9"/>
        <v>40mg</v>
      </c>
      <c r="U270">
        <v>240</v>
      </c>
      <c r="V270" t="s">
        <v>86</v>
      </c>
      <c r="W270" t="str">
        <f t="shared" si="8"/>
        <v>240mg</v>
      </c>
      <c r="X270" t="s">
        <v>86</v>
      </c>
      <c r="Y270" t="s">
        <v>86</v>
      </c>
      <c r="Z270" t="s">
        <v>86</v>
      </c>
      <c r="AA270" t="s">
        <v>794</v>
      </c>
    </row>
    <row r="271" spans="1:27" x14ac:dyDescent="0.2">
      <c r="A271" t="s">
        <v>782</v>
      </c>
      <c r="B271">
        <v>270</v>
      </c>
      <c r="C271">
        <v>1</v>
      </c>
      <c r="D271" t="s">
        <v>303</v>
      </c>
      <c r="E271" t="s">
        <v>1012</v>
      </c>
      <c r="F271" t="s">
        <v>1214</v>
      </c>
      <c r="G271">
        <v>68</v>
      </c>
      <c r="H271" t="s">
        <v>861</v>
      </c>
      <c r="Q271" t="s">
        <v>1215</v>
      </c>
      <c r="R271">
        <v>155</v>
      </c>
      <c r="S271" t="s">
        <v>86</v>
      </c>
      <c r="T271" t="str">
        <f t="shared" si="9"/>
        <v>155mg</v>
      </c>
      <c r="U271" t="s">
        <v>86</v>
      </c>
      <c r="V271" t="s">
        <v>86</v>
      </c>
      <c r="W271" t="str">
        <f t="shared" si="8"/>
        <v>.</v>
      </c>
      <c r="X271" t="s">
        <v>86</v>
      </c>
      <c r="Y271" t="s">
        <v>86</v>
      </c>
      <c r="Z271" t="s">
        <v>86</v>
      </c>
      <c r="AA271" t="s">
        <v>863</v>
      </c>
    </row>
    <row r="272" spans="1:27" x14ac:dyDescent="0.2">
      <c r="A272" t="s">
        <v>782</v>
      </c>
      <c r="B272">
        <v>271</v>
      </c>
      <c r="C272">
        <v>1</v>
      </c>
      <c r="D272" t="s">
        <v>303</v>
      </c>
      <c r="E272" t="s">
        <v>1012</v>
      </c>
      <c r="F272" t="s">
        <v>1216</v>
      </c>
      <c r="G272">
        <v>83</v>
      </c>
      <c r="H272" t="s">
        <v>894</v>
      </c>
      <c r="Q272" t="s">
        <v>1126</v>
      </c>
      <c r="R272">
        <v>300</v>
      </c>
      <c r="S272" t="s">
        <v>86</v>
      </c>
      <c r="T272" t="str">
        <f t="shared" si="9"/>
        <v>300mg</v>
      </c>
      <c r="U272" t="s">
        <v>86</v>
      </c>
      <c r="V272" t="s">
        <v>86</v>
      </c>
      <c r="W272" t="str">
        <f t="shared" si="8"/>
        <v>.</v>
      </c>
      <c r="X272" t="s">
        <v>86</v>
      </c>
      <c r="Y272" t="s">
        <v>86</v>
      </c>
      <c r="Z272" t="s">
        <v>86</v>
      </c>
      <c r="AA272" t="s">
        <v>896</v>
      </c>
    </row>
    <row r="273" spans="1:27" x14ac:dyDescent="0.2">
      <c r="A273" t="s">
        <v>782</v>
      </c>
      <c r="B273">
        <v>272</v>
      </c>
      <c r="C273">
        <v>1</v>
      </c>
      <c r="D273" t="s">
        <v>303</v>
      </c>
      <c r="E273" t="s">
        <v>1012</v>
      </c>
      <c r="F273" t="s">
        <v>1217</v>
      </c>
      <c r="G273">
        <v>83</v>
      </c>
      <c r="H273" t="s">
        <v>894</v>
      </c>
      <c r="Q273" t="s">
        <v>901</v>
      </c>
      <c r="R273">
        <v>125</v>
      </c>
      <c r="S273" t="s">
        <v>86</v>
      </c>
      <c r="T273" t="str">
        <f t="shared" si="9"/>
        <v>125mg</v>
      </c>
      <c r="U273" t="s">
        <v>86</v>
      </c>
      <c r="V273" t="s">
        <v>86</v>
      </c>
      <c r="W273" t="str">
        <f t="shared" si="8"/>
        <v>.</v>
      </c>
      <c r="X273" t="s">
        <v>86</v>
      </c>
      <c r="Y273" t="s">
        <v>86</v>
      </c>
      <c r="Z273" t="s">
        <v>86</v>
      </c>
      <c r="AA273" t="s">
        <v>912</v>
      </c>
    </row>
    <row r="274" spans="1:27" x14ac:dyDescent="0.2">
      <c r="A274" t="s">
        <v>782</v>
      </c>
      <c r="B274">
        <v>273</v>
      </c>
      <c r="C274">
        <v>1</v>
      </c>
      <c r="D274" t="s">
        <v>303</v>
      </c>
      <c r="E274" t="s">
        <v>1012</v>
      </c>
      <c r="F274" t="s">
        <v>1218</v>
      </c>
      <c r="G274">
        <v>83</v>
      </c>
      <c r="H274" t="s">
        <v>894</v>
      </c>
      <c r="Q274" t="s">
        <v>901</v>
      </c>
      <c r="R274">
        <v>500</v>
      </c>
      <c r="S274" t="s">
        <v>86</v>
      </c>
      <c r="T274" t="str">
        <f t="shared" si="9"/>
        <v>500mg</v>
      </c>
      <c r="U274" t="s">
        <v>86</v>
      </c>
      <c r="V274" t="s">
        <v>86</v>
      </c>
      <c r="W274" t="str">
        <f t="shared" si="8"/>
        <v>.</v>
      </c>
      <c r="X274" t="s">
        <v>86</v>
      </c>
      <c r="Y274" t="s">
        <v>86</v>
      </c>
      <c r="Z274" t="s">
        <v>86</v>
      </c>
      <c r="AA274" t="s">
        <v>912</v>
      </c>
    </row>
    <row r="275" spans="1:27" x14ac:dyDescent="0.2">
      <c r="A275" t="s">
        <v>782</v>
      </c>
      <c r="B275">
        <v>274</v>
      </c>
      <c r="C275">
        <v>1</v>
      </c>
      <c r="D275" t="s">
        <v>303</v>
      </c>
      <c r="E275" t="s">
        <v>1012</v>
      </c>
      <c r="F275" t="s">
        <v>1219</v>
      </c>
      <c r="G275">
        <v>83</v>
      </c>
      <c r="H275" t="s">
        <v>894</v>
      </c>
      <c r="Q275">
        <v>99</v>
      </c>
      <c r="R275">
        <v>100</v>
      </c>
      <c r="S275" t="s">
        <v>86</v>
      </c>
      <c r="T275" t="str">
        <f t="shared" si="9"/>
        <v>100mg</v>
      </c>
      <c r="U275" t="s">
        <v>86</v>
      </c>
      <c r="V275" t="s">
        <v>86</v>
      </c>
      <c r="W275" t="str">
        <f t="shared" si="8"/>
        <v>.</v>
      </c>
      <c r="X275" t="s">
        <v>86</v>
      </c>
      <c r="Y275" t="s">
        <v>86</v>
      </c>
      <c r="Z275" t="s">
        <v>86</v>
      </c>
      <c r="AA275" t="s">
        <v>896</v>
      </c>
    </row>
    <row r="276" spans="1:27" x14ac:dyDescent="0.2">
      <c r="A276" t="s">
        <v>782</v>
      </c>
      <c r="B276">
        <v>275</v>
      </c>
      <c r="C276">
        <v>1</v>
      </c>
      <c r="D276" t="s">
        <v>303</v>
      </c>
      <c r="E276" t="s">
        <v>1012</v>
      </c>
      <c r="F276" t="s">
        <v>1220</v>
      </c>
      <c r="G276">
        <v>83</v>
      </c>
      <c r="H276" t="s">
        <v>894</v>
      </c>
      <c r="Q276" t="s">
        <v>816</v>
      </c>
      <c r="R276">
        <v>100</v>
      </c>
      <c r="S276" t="s">
        <v>86</v>
      </c>
      <c r="T276" t="str">
        <f t="shared" si="9"/>
        <v>100mg</v>
      </c>
      <c r="U276" t="s">
        <v>86</v>
      </c>
      <c r="V276" t="s">
        <v>86</v>
      </c>
      <c r="W276" t="str">
        <f t="shared" si="8"/>
        <v>.</v>
      </c>
      <c r="X276" t="s">
        <v>86</v>
      </c>
      <c r="Y276" t="s">
        <v>86</v>
      </c>
      <c r="Z276" t="s">
        <v>86</v>
      </c>
      <c r="AA276" t="s">
        <v>896</v>
      </c>
    </row>
    <row r="277" spans="1:27" x14ac:dyDescent="0.2">
      <c r="A277" t="s">
        <v>782</v>
      </c>
      <c r="B277">
        <v>276</v>
      </c>
      <c r="C277">
        <v>1</v>
      </c>
      <c r="D277" t="s">
        <v>303</v>
      </c>
      <c r="E277" t="s">
        <v>1012</v>
      </c>
      <c r="F277" t="s">
        <v>1221</v>
      </c>
      <c r="G277">
        <v>83</v>
      </c>
      <c r="H277" t="s">
        <v>894</v>
      </c>
      <c r="Q277" t="s">
        <v>1126</v>
      </c>
      <c r="R277">
        <v>300</v>
      </c>
      <c r="S277" t="s">
        <v>86</v>
      </c>
      <c r="T277" t="str">
        <f t="shared" si="9"/>
        <v>300mg</v>
      </c>
      <c r="U277" t="s">
        <v>86</v>
      </c>
      <c r="V277" t="s">
        <v>86</v>
      </c>
      <c r="W277" t="str">
        <f t="shared" si="8"/>
        <v>.</v>
      </c>
      <c r="X277" t="s">
        <v>86</v>
      </c>
      <c r="Y277" t="s">
        <v>86</v>
      </c>
      <c r="Z277" t="s">
        <v>86</v>
      </c>
      <c r="AA277" t="s">
        <v>896</v>
      </c>
    </row>
    <row r="278" spans="1:27" x14ac:dyDescent="0.2">
      <c r="A278" t="s">
        <v>782</v>
      </c>
      <c r="B278">
        <v>277</v>
      </c>
      <c r="C278">
        <v>1</v>
      </c>
      <c r="D278" t="s">
        <v>303</v>
      </c>
      <c r="E278" t="s">
        <v>1012</v>
      </c>
      <c r="F278" t="s">
        <v>1222</v>
      </c>
      <c r="G278">
        <v>83</v>
      </c>
      <c r="H278" t="s">
        <v>894</v>
      </c>
      <c r="Q278" t="s">
        <v>1223</v>
      </c>
      <c r="R278">
        <v>100</v>
      </c>
      <c r="S278" t="s">
        <v>86</v>
      </c>
      <c r="T278" t="str">
        <f t="shared" si="9"/>
        <v>100mg</v>
      </c>
      <c r="U278" t="s">
        <v>86</v>
      </c>
      <c r="V278" t="s">
        <v>86</v>
      </c>
      <c r="W278" t="str">
        <f t="shared" si="8"/>
        <v>.</v>
      </c>
      <c r="X278" t="s">
        <v>86</v>
      </c>
      <c r="Y278" t="s">
        <v>86</v>
      </c>
      <c r="Z278" t="s">
        <v>86</v>
      </c>
      <c r="AA278" t="s">
        <v>896</v>
      </c>
    </row>
    <row r="279" spans="1:27" x14ac:dyDescent="0.2">
      <c r="A279" t="s">
        <v>782</v>
      </c>
      <c r="B279">
        <v>278</v>
      </c>
      <c r="C279">
        <v>1</v>
      </c>
      <c r="D279" t="s">
        <v>303</v>
      </c>
      <c r="E279" t="s">
        <v>1012</v>
      </c>
      <c r="F279" t="s">
        <v>1224</v>
      </c>
      <c r="G279">
        <v>83</v>
      </c>
      <c r="H279" t="s">
        <v>894</v>
      </c>
      <c r="Q279" t="s">
        <v>1139</v>
      </c>
      <c r="R279">
        <v>100</v>
      </c>
      <c r="S279" t="s">
        <v>86</v>
      </c>
      <c r="T279" t="str">
        <f t="shared" si="9"/>
        <v>100mg</v>
      </c>
      <c r="U279" t="s">
        <v>86</v>
      </c>
      <c r="V279" t="s">
        <v>86</v>
      </c>
      <c r="W279" t="str">
        <f t="shared" si="8"/>
        <v>.</v>
      </c>
      <c r="X279" t="s">
        <v>86</v>
      </c>
      <c r="Y279" t="s">
        <v>86</v>
      </c>
      <c r="Z279" t="s">
        <v>86</v>
      </c>
      <c r="AA279" t="s">
        <v>896</v>
      </c>
    </row>
    <row r="280" spans="1:27" x14ac:dyDescent="0.2">
      <c r="A280" t="s">
        <v>782</v>
      </c>
      <c r="B280">
        <v>279</v>
      </c>
      <c r="C280">
        <v>1</v>
      </c>
      <c r="D280" t="s">
        <v>303</v>
      </c>
      <c r="E280" t="s">
        <v>1012</v>
      </c>
      <c r="F280" t="s">
        <v>1225</v>
      </c>
      <c r="G280">
        <v>83</v>
      </c>
      <c r="H280" t="s">
        <v>894</v>
      </c>
      <c r="Q280" t="s">
        <v>1098</v>
      </c>
      <c r="R280">
        <v>300</v>
      </c>
      <c r="S280" t="s">
        <v>86</v>
      </c>
      <c r="T280" t="str">
        <f t="shared" si="9"/>
        <v>300mg</v>
      </c>
      <c r="U280" t="s">
        <v>86</v>
      </c>
      <c r="V280" t="s">
        <v>86</v>
      </c>
      <c r="W280" t="str">
        <f t="shared" si="8"/>
        <v>.</v>
      </c>
      <c r="X280" t="s">
        <v>86</v>
      </c>
      <c r="Y280" t="s">
        <v>86</v>
      </c>
      <c r="Z280" t="s">
        <v>86</v>
      </c>
      <c r="AA280" t="s">
        <v>896</v>
      </c>
    </row>
    <row r="281" spans="1:27" x14ac:dyDescent="0.2">
      <c r="A281" t="s">
        <v>782</v>
      </c>
      <c r="B281">
        <v>280</v>
      </c>
      <c r="C281">
        <v>1</v>
      </c>
      <c r="D281" t="s">
        <v>303</v>
      </c>
      <c r="E281" t="s">
        <v>1012</v>
      </c>
      <c r="F281" t="s">
        <v>1226</v>
      </c>
      <c r="G281">
        <v>68</v>
      </c>
      <c r="H281" t="s">
        <v>861</v>
      </c>
      <c r="Q281" t="s">
        <v>1227</v>
      </c>
      <c r="R281">
        <v>150</v>
      </c>
      <c r="S281" t="s">
        <v>86</v>
      </c>
      <c r="T281" t="str">
        <f t="shared" si="9"/>
        <v>150mg</v>
      </c>
      <c r="U281" t="s">
        <v>86</v>
      </c>
      <c r="V281" t="s">
        <v>86</v>
      </c>
      <c r="W281" t="str">
        <f t="shared" si="8"/>
        <v>.</v>
      </c>
      <c r="X281" t="s">
        <v>86</v>
      </c>
      <c r="Y281" t="s">
        <v>86</v>
      </c>
      <c r="Z281" t="s">
        <v>86</v>
      </c>
      <c r="AA281" t="s">
        <v>863</v>
      </c>
    </row>
    <row r="282" spans="1:27" x14ac:dyDescent="0.2">
      <c r="A282" t="s">
        <v>782</v>
      </c>
      <c r="B282">
        <v>281</v>
      </c>
      <c r="C282">
        <v>1</v>
      </c>
      <c r="D282" t="s">
        <v>303</v>
      </c>
      <c r="E282" t="s">
        <v>1012</v>
      </c>
      <c r="F282" t="s">
        <v>1228</v>
      </c>
      <c r="G282">
        <v>61</v>
      </c>
      <c r="H282" t="s">
        <v>323</v>
      </c>
      <c r="I282">
        <v>74</v>
      </c>
      <c r="J282" t="s">
        <v>324</v>
      </c>
      <c r="Q282" t="s">
        <v>848</v>
      </c>
      <c r="R282">
        <v>40</v>
      </c>
      <c r="S282" t="s">
        <v>86</v>
      </c>
      <c r="T282" t="str">
        <f t="shared" si="9"/>
        <v>40mg</v>
      </c>
      <c r="U282">
        <v>240</v>
      </c>
      <c r="V282" t="s">
        <v>86</v>
      </c>
      <c r="W282" t="str">
        <f t="shared" si="8"/>
        <v>240mg</v>
      </c>
      <c r="X282" t="s">
        <v>86</v>
      </c>
      <c r="Y282" t="s">
        <v>86</v>
      </c>
      <c r="Z282" t="s">
        <v>86</v>
      </c>
      <c r="AA282" t="s">
        <v>794</v>
      </c>
    </row>
    <row r="283" spans="1:27" x14ac:dyDescent="0.2">
      <c r="A283" t="s">
        <v>782</v>
      </c>
      <c r="B283">
        <v>282</v>
      </c>
      <c r="C283">
        <v>1</v>
      </c>
      <c r="D283" t="s">
        <v>303</v>
      </c>
      <c r="E283" t="s">
        <v>1012</v>
      </c>
      <c r="F283" t="s">
        <v>1229</v>
      </c>
      <c r="G283">
        <v>61</v>
      </c>
      <c r="H283" t="s">
        <v>323</v>
      </c>
      <c r="I283">
        <v>74</v>
      </c>
      <c r="J283" t="s">
        <v>324</v>
      </c>
      <c r="Q283" t="s">
        <v>848</v>
      </c>
      <c r="R283">
        <v>80</v>
      </c>
      <c r="S283" t="s">
        <v>86</v>
      </c>
      <c r="T283" t="str">
        <f t="shared" si="9"/>
        <v>80mg</v>
      </c>
      <c r="U283">
        <v>480</v>
      </c>
      <c r="V283" t="s">
        <v>86</v>
      </c>
      <c r="W283" t="str">
        <f t="shared" si="8"/>
        <v>480mg</v>
      </c>
      <c r="X283" t="s">
        <v>86</v>
      </c>
      <c r="Y283" t="s">
        <v>86</v>
      </c>
      <c r="Z283" t="s">
        <v>86</v>
      </c>
      <c r="AA283" t="s">
        <v>794</v>
      </c>
    </row>
    <row r="284" spans="1:27" x14ac:dyDescent="0.2">
      <c r="A284" t="s">
        <v>782</v>
      </c>
      <c r="B284">
        <v>283</v>
      </c>
      <c r="C284">
        <v>1</v>
      </c>
      <c r="D284" t="s">
        <v>303</v>
      </c>
      <c r="E284" t="s">
        <v>1012</v>
      </c>
      <c r="F284" t="s">
        <v>1230</v>
      </c>
      <c r="G284">
        <v>71</v>
      </c>
      <c r="H284" t="s">
        <v>361</v>
      </c>
      <c r="I284">
        <v>77</v>
      </c>
      <c r="J284" t="s">
        <v>362</v>
      </c>
      <c r="Q284" t="s">
        <v>328</v>
      </c>
      <c r="R284">
        <v>40</v>
      </c>
      <c r="S284" t="s">
        <v>86</v>
      </c>
      <c r="T284" t="str">
        <f t="shared" si="9"/>
        <v>40mg</v>
      </c>
      <c r="U284">
        <v>320</v>
      </c>
      <c r="V284" t="s">
        <v>86</v>
      </c>
      <c r="W284" t="str">
        <f t="shared" si="8"/>
        <v>320mg</v>
      </c>
      <c r="X284" t="s">
        <v>86</v>
      </c>
      <c r="Y284" t="s">
        <v>86</v>
      </c>
      <c r="Z284" t="s">
        <v>86</v>
      </c>
      <c r="AA284" t="s">
        <v>1034</v>
      </c>
    </row>
    <row r="285" spans="1:27" x14ac:dyDescent="0.2">
      <c r="A285" t="s">
        <v>782</v>
      </c>
      <c r="B285">
        <v>284</v>
      </c>
      <c r="C285">
        <v>1</v>
      </c>
      <c r="D285" t="s">
        <v>303</v>
      </c>
      <c r="E285" t="s">
        <v>1012</v>
      </c>
      <c r="F285" t="s">
        <v>1231</v>
      </c>
      <c r="G285">
        <v>61</v>
      </c>
      <c r="H285" t="s">
        <v>323</v>
      </c>
      <c r="I285">
        <v>74</v>
      </c>
      <c r="J285" t="s">
        <v>324</v>
      </c>
      <c r="Q285" t="s">
        <v>1232</v>
      </c>
      <c r="R285">
        <v>80</v>
      </c>
      <c r="S285" t="s">
        <v>86</v>
      </c>
      <c r="T285" t="str">
        <f t="shared" si="9"/>
        <v>80mg</v>
      </c>
      <c r="U285">
        <v>480</v>
      </c>
      <c r="V285" t="s">
        <v>86</v>
      </c>
      <c r="W285" t="str">
        <f t="shared" si="8"/>
        <v>480mg</v>
      </c>
      <c r="X285" t="s">
        <v>86</v>
      </c>
      <c r="Y285" t="s">
        <v>86</v>
      </c>
      <c r="Z285" t="s">
        <v>86</v>
      </c>
      <c r="AA285" t="s">
        <v>794</v>
      </c>
    </row>
    <row r="286" spans="1:27" x14ac:dyDescent="0.2">
      <c r="A286" t="s">
        <v>782</v>
      </c>
      <c r="B286">
        <v>285</v>
      </c>
      <c r="C286">
        <v>1</v>
      </c>
      <c r="D286" t="s">
        <v>303</v>
      </c>
      <c r="E286" t="s">
        <v>1012</v>
      </c>
      <c r="F286" t="s">
        <v>1233</v>
      </c>
      <c r="G286">
        <v>61</v>
      </c>
      <c r="H286" t="s">
        <v>323</v>
      </c>
      <c r="I286">
        <v>74</v>
      </c>
      <c r="J286" t="s">
        <v>324</v>
      </c>
      <c r="Q286" t="s">
        <v>1232</v>
      </c>
      <c r="R286">
        <v>20</v>
      </c>
      <c r="S286" t="s">
        <v>86</v>
      </c>
      <c r="T286" t="str">
        <f t="shared" si="9"/>
        <v>20mg</v>
      </c>
      <c r="U286">
        <v>120</v>
      </c>
      <c r="V286" t="s">
        <v>86</v>
      </c>
      <c r="W286" t="str">
        <f t="shared" si="8"/>
        <v>120mg</v>
      </c>
      <c r="X286" t="s">
        <v>86</v>
      </c>
      <c r="Y286" t="s">
        <v>86</v>
      </c>
      <c r="Z286" t="s">
        <v>86</v>
      </c>
      <c r="AA286" t="s">
        <v>794</v>
      </c>
    </row>
    <row r="287" spans="1:27" x14ac:dyDescent="0.2">
      <c r="A287" t="s">
        <v>782</v>
      </c>
      <c r="B287">
        <v>286</v>
      </c>
      <c r="C287">
        <v>1</v>
      </c>
      <c r="D287" t="s">
        <v>303</v>
      </c>
      <c r="E287" t="s">
        <v>1012</v>
      </c>
      <c r="F287" t="s">
        <v>1234</v>
      </c>
      <c r="G287">
        <v>85</v>
      </c>
      <c r="H287" t="s">
        <v>460</v>
      </c>
      <c r="I287">
        <v>81</v>
      </c>
      <c r="J287" t="s">
        <v>459</v>
      </c>
      <c r="Q287" t="s">
        <v>1235</v>
      </c>
      <c r="R287">
        <v>500</v>
      </c>
      <c r="S287" t="s">
        <v>86</v>
      </c>
      <c r="T287" t="str">
        <f t="shared" si="9"/>
        <v>500mg</v>
      </c>
      <c r="U287">
        <v>25</v>
      </c>
      <c r="V287" t="s">
        <v>86</v>
      </c>
      <c r="W287" t="str">
        <f t="shared" si="8"/>
        <v>25mg</v>
      </c>
      <c r="X287" t="s">
        <v>86</v>
      </c>
      <c r="Y287" t="s">
        <v>86</v>
      </c>
      <c r="Z287" t="s">
        <v>86</v>
      </c>
      <c r="AA287" t="s">
        <v>1016</v>
      </c>
    </row>
    <row r="288" spans="1:27" x14ac:dyDescent="0.2">
      <c r="A288" t="s">
        <v>782</v>
      </c>
      <c r="B288">
        <v>287</v>
      </c>
      <c r="C288">
        <v>1</v>
      </c>
      <c r="D288" t="s">
        <v>303</v>
      </c>
      <c r="E288" t="s">
        <v>1012</v>
      </c>
      <c r="F288" t="s">
        <v>1236</v>
      </c>
      <c r="G288">
        <v>85</v>
      </c>
      <c r="H288" t="s">
        <v>460</v>
      </c>
      <c r="I288">
        <v>81</v>
      </c>
      <c r="J288" t="s">
        <v>459</v>
      </c>
      <c r="Q288" t="s">
        <v>1089</v>
      </c>
      <c r="R288">
        <v>500</v>
      </c>
      <c r="S288" t="s">
        <v>86</v>
      </c>
      <c r="T288" t="str">
        <f t="shared" si="9"/>
        <v>500mg</v>
      </c>
      <c r="U288">
        <v>25</v>
      </c>
      <c r="V288" t="s">
        <v>86</v>
      </c>
      <c r="W288" t="str">
        <f t="shared" si="8"/>
        <v>25mg</v>
      </c>
      <c r="X288" t="s">
        <v>86</v>
      </c>
      <c r="Y288" t="s">
        <v>86</v>
      </c>
      <c r="Z288" t="s">
        <v>86</v>
      </c>
      <c r="AA288" t="s">
        <v>1016</v>
      </c>
    </row>
    <row r="289" spans="1:27" x14ac:dyDescent="0.2">
      <c r="A289" t="s">
        <v>782</v>
      </c>
      <c r="B289">
        <v>288</v>
      </c>
      <c r="C289">
        <v>1</v>
      </c>
      <c r="D289" t="s">
        <v>303</v>
      </c>
      <c r="E289" t="s">
        <v>1012</v>
      </c>
      <c r="F289" t="s">
        <v>1237</v>
      </c>
      <c r="G289">
        <v>85</v>
      </c>
      <c r="H289" t="s">
        <v>460</v>
      </c>
      <c r="I289">
        <v>81</v>
      </c>
      <c r="J289" t="s">
        <v>459</v>
      </c>
      <c r="Q289" t="s">
        <v>605</v>
      </c>
      <c r="R289">
        <v>500</v>
      </c>
      <c r="S289" t="s">
        <v>86</v>
      </c>
      <c r="T289" t="str">
        <f t="shared" si="9"/>
        <v>500mg</v>
      </c>
      <c r="U289">
        <v>25</v>
      </c>
      <c r="V289" t="s">
        <v>86</v>
      </c>
      <c r="W289" t="str">
        <f t="shared" si="8"/>
        <v>25mg</v>
      </c>
      <c r="X289" t="s">
        <v>86</v>
      </c>
      <c r="Y289" t="s">
        <v>86</v>
      </c>
      <c r="Z289" t="s">
        <v>86</v>
      </c>
      <c r="AA289" t="s">
        <v>1016</v>
      </c>
    </row>
    <row r="290" spans="1:27" x14ac:dyDescent="0.2">
      <c r="A290" t="s">
        <v>782</v>
      </c>
      <c r="B290">
        <v>289</v>
      </c>
      <c r="C290">
        <v>1</v>
      </c>
      <c r="D290" t="s">
        <v>303</v>
      </c>
      <c r="E290" t="s">
        <v>1012</v>
      </c>
      <c r="F290" t="s">
        <v>1238</v>
      </c>
      <c r="G290">
        <v>85</v>
      </c>
      <c r="H290" t="s">
        <v>460</v>
      </c>
      <c r="I290">
        <v>81</v>
      </c>
      <c r="J290" t="s">
        <v>459</v>
      </c>
      <c r="Q290" t="s">
        <v>1139</v>
      </c>
      <c r="R290">
        <v>500</v>
      </c>
      <c r="S290" t="s">
        <v>86</v>
      </c>
      <c r="T290" t="str">
        <f t="shared" si="9"/>
        <v>500mg</v>
      </c>
      <c r="U290">
        <v>25</v>
      </c>
      <c r="V290" t="s">
        <v>86</v>
      </c>
      <c r="W290" t="str">
        <f t="shared" si="8"/>
        <v>25mg</v>
      </c>
      <c r="X290" t="s">
        <v>86</v>
      </c>
      <c r="Y290" t="s">
        <v>86</v>
      </c>
      <c r="Z290" t="s">
        <v>86</v>
      </c>
      <c r="AA290" t="s">
        <v>1016</v>
      </c>
    </row>
    <row r="291" spans="1:27" x14ac:dyDescent="0.2">
      <c r="A291" t="s">
        <v>782</v>
      </c>
      <c r="B291">
        <v>290</v>
      </c>
      <c r="C291">
        <v>1</v>
      </c>
      <c r="D291" t="s">
        <v>303</v>
      </c>
      <c r="E291" t="s">
        <v>1012</v>
      </c>
      <c r="F291" t="s">
        <v>1239</v>
      </c>
      <c r="G291">
        <v>83</v>
      </c>
      <c r="H291" t="s">
        <v>894</v>
      </c>
      <c r="Q291" t="s">
        <v>1240</v>
      </c>
      <c r="R291">
        <v>250</v>
      </c>
      <c r="S291" t="s">
        <v>86</v>
      </c>
      <c r="T291" t="str">
        <f t="shared" si="9"/>
        <v>250mg</v>
      </c>
      <c r="U291" t="s">
        <v>86</v>
      </c>
      <c r="V291" t="s">
        <v>86</v>
      </c>
      <c r="W291" t="str">
        <f t="shared" si="8"/>
        <v>.</v>
      </c>
      <c r="X291" t="s">
        <v>86</v>
      </c>
      <c r="Y291" t="s">
        <v>86</v>
      </c>
      <c r="Z291" t="s">
        <v>86</v>
      </c>
      <c r="AA291" t="s">
        <v>896</v>
      </c>
    </row>
    <row r="292" spans="1:27" x14ac:dyDescent="0.2">
      <c r="A292" t="s">
        <v>782</v>
      </c>
      <c r="B292">
        <v>291</v>
      </c>
      <c r="C292">
        <v>1</v>
      </c>
      <c r="D292" t="s">
        <v>303</v>
      </c>
      <c r="E292" t="s">
        <v>1012</v>
      </c>
      <c r="F292" t="s">
        <v>1241</v>
      </c>
      <c r="G292">
        <v>61</v>
      </c>
      <c r="H292" t="s">
        <v>323</v>
      </c>
      <c r="I292">
        <v>74</v>
      </c>
      <c r="J292" t="s">
        <v>324</v>
      </c>
      <c r="Q292" t="s">
        <v>1242</v>
      </c>
      <c r="R292">
        <v>80</v>
      </c>
      <c r="S292" t="s">
        <v>86</v>
      </c>
      <c r="T292" t="str">
        <f t="shared" si="9"/>
        <v>80mg</v>
      </c>
      <c r="U292">
        <v>480</v>
      </c>
      <c r="V292" t="s">
        <v>86</v>
      </c>
      <c r="W292" t="str">
        <f t="shared" si="8"/>
        <v>480mg</v>
      </c>
      <c r="X292" t="s">
        <v>86</v>
      </c>
      <c r="Y292" t="s">
        <v>86</v>
      </c>
      <c r="Z292" t="s">
        <v>86</v>
      </c>
      <c r="AA292" t="s">
        <v>794</v>
      </c>
    </row>
    <row r="293" spans="1:27" x14ac:dyDescent="0.2">
      <c r="A293" t="s">
        <v>782</v>
      </c>
      <c r="B293">
        <v>292</v>
      </c>
      <c r="C293">
        <v>1</v>
      </c>
      <c r="D293" t="s">
        <v>303</v>
      </c>
      <c r="E293" t="s">
        <v>1012</v>
      </c>
      <c r="F293" t="s">
        <v>1243</v>
      </c>
      <c r="G293">
        <v>61</v>
      </c>
      <c r="H293" t="s">
        <v>323</v>
      </c>
      <c r="I293">
        <v>74</v>
      </c>
      <c r="J293" t="s">
        <v>324</v>
      </c>
      <c r="Q293" t="s">
        <v>1244</v>
      </c>
      <c r="R293">
        <v>20</v>
      </c>
      <c r="S293" t="s">
        <v>86</v>
      </c>
      <c r="T293" t="str">
        <f t="shared" si="9"/>
        <v>20mg</v>
      </c>
      <c r="U293">
        <v>120</v>
      </c>
      <c r="V293" t="s">
        <v>86</v>
      </c>
      <c r="W293" t="str">
        <f t="shared" si="8"/>
        <v>120mg</v>
      </c>
      <c r="X293" t="s">
        <v>86</v>
      </c>
      <c r="Y293" t="s">
        <v>86</v>
      </c>
      <c r="Z293" t="s">
        <v>86</v>
      </c>
      <c r="AA293" t="s">
        <v>794</v>
      </c>
    </row>
    <row r="294" spans="1:27" x14ac:dyDescent="0.2">
      <c r="A294" t="s">
        <v>782</v>
      </c>
      <c r="B294">
        <v>293</v>
      </c>
      <c r="C294">
        <v>1</v>
      </c>
      <c r="D294" t="s">
        <v>303</v>
      </c>
      <c r="E294" t="s">
        <v>1012</v>
      </c>
      <c r="F294" t="s">
        <v>1245</v>
      </c>
      <c r="G294">
        <v>61</v>
      </c>
      <c r="H294" t="s">
        <v>323</v>
      </c>
      <c r="I294">
        <v>74</v>
      </c>
      <c r="J294" t="s">
        <v>324</v>
      </c>
      <c r="Q294" t="s">
        <v>1244</v>
      </c>
      <c r="R294">
        <v>20</v>
      </c>
      <c r="S294" t="s">
        <v>86</v>
      </c>
      <c r="T294" t="str">
        <f t="shared" si="9"/>
        <v>20mg</v>
      </c>
      <c r="U294">
        <v>120</v>
      </c>
      <c r="V294" t="s">
        <v>86</v>
      </c>
      <c r="W294" t="str">
        <f t="shared" si="8"/>
        <v>120mg</v>
      </c>
      <c r="X294" t="s">
        <v>86</v>
      </c>
      <c r="Y294" t="s">
        <v>86</v>
      </c>
      <c r="Z294" t="s">
        <v>86</v>
      </c>
      <c r="AA294" t="s">
        <v>794</v>
      </c>
    </row>
    <row r="295" spans="1:27" x14ac:dyDescent="0.2">
      <c r="A295" t="s">
        <v>782</v>
      </c>
      <c r="B295">
        <v>294</v>
      </c>
      <c r="C295">
        <v>1</v>
      </c>
      <c r="D295" t="s">
        <v>303</v>
      </c>
      <c r="E295" t="s">
        <v>1012</v>
      </c>
      <c r="F295" t="s">
        <v>1246</v>
      </c>
      <c r="G295">
        <v>61</v>
      </c>
      <c r="H295" t="s">
        <v>323</v>
      </c>
      <c r="I295">
        <v>74</v>
      </c>
      <c r="J295" t="s">
        <v>324</v>
      </c>
      <c r="Q295" t="s">
        <v>1244</v>
      </c>
      <c r="R295">
        <v>80</v>
      </c>
      <c r="S295" t="s">
        <v>86</v>
      </c>
      <c r="T295" t="str">
        <f t="shared" si="9"/>
        <v>80mg</v>
      </c>
      <c r="U295">
        <v>480</v>
      </c>
      <c r="V295" t="s">
        <v>86</v>
      </c>
      <c r="W295" t="str">
        <f t="shared" si="8"/>
        <v>480mg</v>
      </c>
      <c r="X295" t="s">
        <v>86</v>
      </c>
      <c r="Y295" t="s">
        <v>86</v>
      </c>
      <c r="Z295" t="s">
        <v>86</v>
      </c>
      <c r="AA295" t="s">
        <v>794</v>
      </c>
    </row>
    <row r="296" spans="1:27" x14ac:dyDescent="0.2">
      <c r="A296" t="s">
        <v>782</v>
      </c>
      <c r="B296">
        <v>295</v>
      </c>
      <c r="C296">
        <v>1</v>
      </c>
      <c r="D296" t="s">
        <v>303</v>
      </c>
      <c r="E296" t="s">
        <v>1012</v>
      </c>
      <c r="F296" t="s">
        <v>1247</v>
      </c>
      <c r="G296">
        <v>85</v>
      </c>
      <c r="H296" t="s">
        <v>460</v>
      </c>
      <c r="I296">
        <v>81</v>
      </c>
      <c r="J296" t="s">
        <v>459</v>
      </c>
      <c r="Q296" t="s">
        <v>1248</v>
      </c>
      <c r="R296">
        <v>500</v>
      </c>
      <c r="S296" t="s">
        <v>86</v>
      </c>
      <c r="T296" t="str">
        <f t="shared" si="9"/>
        <v>500mg</v>
      </c>
      <c r="U296">
        <v>25</v>
      </c>
      <c r="V296" t="s">
        <v>86</v>
      </c>
      <c r="W296" t="str">
        <f t="shared" si="8"/>
        <v>25mg</v>
      </c>
      <c r="X296" t="s">
        <v>86</v>
      </c>
      <c r="Y296" t="s">
        <v>86</v>
      </c>
      <c r="Z296" t="s">
        <v>86</v>
      </c>
      <c r="AA296" t="s">
        <v>1016</v>
      </c>
    </row>
    <row r="297" spans="1:27" x14ac:dyDescent="0.2">
      <c r="A297" t="s">
        <v>782</v>
      </c>
      <c r="B297">
        <v>296</v>
      </c>
      <c r="C297">
        <v>1</v>
      </c>
      <c r="D297" t="s">
        <v>303</v>
      </c>
      <c r="E297" t="s">
        <v>1012</v>
      </c>
      <c r="F297" t="s">
        <v>1249</v>
      </c>
      <c r="G297">
        <v>85</v>
      </c>
      <c r="H297" t="s">
        <v>460</v>
      </c>
      <c r="I297">
        <v>81</v>
      </c>
      <c r="J297" t="s">
        <v>459</v>
      </c>
      <c r="Q297" t="s">
        <v>1250</v>
      </c>
      <c r="R297">
        <v>500</v>
      </c>
      <c r="S297" t="s">
        <v>86</v>
      </c>
      <c r="T297" t="str">
        <f t="shared" si="9"/>
        <v>500mg</v>
      </c>
      <c r="U297">
        <v>25</v>
      </c>
      <c r="V297" t="s">
        <v>86</v>
      </c>
      <c r="W297" t="str">
        <f t="shared" si="8"/>
        <v>25mg</v>
      </c>
      <c r="X297" t="s">
        <v>86</v>
      </c>
      <c r="Y297" t="s">
        <v>86</v>
      </c>
      <c r="Z297" t="s">
        <v>86</v>
      </c>
      <c r="AA297" t="s">
        <v>1016</v>
      </c>
    </row>
    <row r="298" spans="1:27" x14ac:dyDescent="0.2">
      <c r="A298" t="s">
        <v>922</v>
      </c>
      <c r="B298">
        <v>297</v>
      </c>
      <c r="C298" t="e">
        <v>#N/A</v>
      </c>
      <c r="D298" s="3" t="s">
        <v>522</v>
      </c>
      <c r="F298" s="3" t="s">
        <v>925</v>
      </c>
      <c r="H298" t="s">
        <v>618</v>
      </c>
      <c r="J298" t="s">
        <v>619</v>
      </c>
      <c r="Q298" t="s">
        <v>928</v>
      </c>
      <c r="R298">
        <v>20</v>
      </c>
      <c r="S298" t="s">
        <v>86</v>
      </c>
      <c r="T298" t="str">
        <f t="shared" si="9"/>
        <v>20mg</v>
      </c>
      <c r="U298" t="s">
        <v>86</v>
      </c>
      <c r="V298" t="s">
        <v>86</v>
      </c>
      <c r="W298" t="str">
        <f t="shared" si="8"/>
        <v>.</v>
      </c>
      <c r="X298" t="s">
        <v>86</v>
      </c>
      <c r="Y298" t="s">
        <v>86</v>
      </c>
      <c r="Z298" t="s">
        <v>86</v>
      </c>
    </row>
    <row r="299" spans="1:27" x14ac:dyDescent="0.2">
      <c r="A299" t="s">
        <v>922</v>
      </c>
      <c r="B299">
        <v>298</v>
      </c>
      <c r="C299" t="e">
        <v>#N/A</v>
      </c>
      <c r="D299" s="3" t="s">
        <v>522</v>
      </c>
      <c r="F299" s="3" t="s">
        <v>927</v>
      </c>
      <c r="H299" t="s">
        <v>618</v>
      </c>
      <c r="J299" t="s">
        <v>619</v>
      </c>
      <c r="Q299" t="s">
        <v>1251</v>
      </c>
      <c r="R299">
        <v>40</v>
      </c>
      <c r="S299" t="s">
        <v>86</v>
      </c>
      <c r="T299" t="str">
        <f t="shared" si="9"/>
        <v>40mg</v>
      </c>
      <c r="U299" t="s">
        <v>86</v>
      </c>
      <c r="V299" t="s">
        <v>86</v>
      </c>
      <c r="W299" t="str">
        <f t="shared" si="8"/>
        <v>.</v>
      </c>
      <c r="X299" t="s">
        <v>86</v>
      </c>
      <c r="Y299" t="s">
        <v>86</v>
      </c>
      <c r="Z299" t="s">
        <v>86</v>
      </c>
    </row>
    <row r="300" spans="1:27" x14ac:dyDescent="0.2">
      <c r="A300" t="s">
        <v>922</v>
      </c>
      <c r="B300">
        <v>299</v>
      </c>
      <c r="C300">
        <v>1</v>
      </c>
      <c r="D300" s="3" t="s">
        <v>303</v>
      </c>
      <c r="F300" s="3" t="s">
        <v>929</v>
      </c>
      <c r="H300" t="s">
        <v>618</v>
      </c>
      <c r="J300" t="s">
        <v>619</v>
      </c>
      <c r="Q300" t="s">
        <v>926</v>
      </c>
      <c r="R300">
        <v>60</v>
      </c>
      <c r="S300" t="s">
        <v>86</v>
      </c>
      <c r="T300" t="str">
        <f t="shared" si="9"/>
        <v>60mg</v>
      </c>
      <c r="U300" t="s">
        <v>86</v>
      </c>
      <c r="V300" t="s">
        <v>86</v>
      </c>
      <c r="W300" t="str">
        <f t="shared" si="8"/>
        <v>.</v>
      </c>
      <c r="X300" t="s">
        <v>86</v>
      </c>
      <c r="Y300" t="s">
        <v>86</v>
      </c>
      <c r="Z300" t="s">
        <v>86</v>
      </c>
    </row>
    <row r="301" spans="1:27" x14ac:dyDescent="0.2">
      <c r="A301" t="s">
        <v>922</v>
      </c>
      <c r="B301">
        <v>300</v>
      </c>
      <c r="C301" t="e">
        <v>#N/A</v>
      </c>
      <c r="D301" s="3" t="s">
        <v>522</v>
      </c>
      <c r="F301" s="3" t="s">
        <v>1252</v>
      </c>
      <c r="H301" t="s">
        <v>618</v>
      </c>
      <c r="J301" t="s">
        <v>619</v>
      </c>
      <c r="Q301" t="s">
        <v>1253</v>
      </c>
      <c r="R301">
        <v>20</v>
      </c>
      <c r="S301" t="s">
        <v>86</v>
      </c>
      <c r="T301" t="str">
        <f t="shared" si="9"/>
        <v>20mg</v>
      </c>
      <c r="U301" t="s">
        <v>86</v>
      </c>
      <c r="V301" t="s">
        <v>86</v>
      </c>
      <c r="W301" t="str">
        <f t="shared" si="8"/>
        <v>.</v>
      </c>
      <c r="X301" t="s">
        <v>86</v>
      </c>
      <c r="Y301" t="s">
        <v>86</v>
      </c>
      <c r="Z301" t="s">
        <v>86</v>
      </c>
    </row>
    <row r="302" spans="1:27" x14ac:dyDescent="0.2">
      <c r="A302" t="s">
        <v>922</v>
      </c>
      <c r="B302">
        <v>301</v>
      </c>
      <c r="C302">
        <v>1</v>
      </c>
      <c r="D302" s="3" t="s">
        <v>303</v>
      </c>
      <c r="F302" s="3" t="s">
        <v>1254</v>
      </c>
      <c r="H302" t="s">
        <v>618</v>
      </c>
      <c r="J302" t="s">
        <v>619</v>
      </c>
      <c r="Q302" t="s">
        <v>1255</v>
      </c>
      <c r="R302">
        <v>40</v>
      </c>
      <c r="S302" t="s">
        <v>86</v>
      </c>
      <c r="T302" t="str">
        <f t="shared" si="9"/>
        <v>40mg</v>
      </c>
      <c r="U302" t="s">
        <v>86</v>
      </c>
      <c r="V302" t="s">
        <v>86</v>
      </c>
      <c r="W302" t="str">
        <f t="shared" si="8"/>
        <v>.</v>
      </c>
      <c r="X302" t="s">
        <v>86</v>
      </c>
      <c r="Y302" t="s">
        <v>86</v>
      </c>
      <c r="Z302" t="s">
        <v>86</v>
      </c>
    </row>
    <row r="303" spans="1:27" x14ac:dyDescent="0.2">
      <c r="A303" t="s">
        <v>922</v>
      </c>
      <c r="B303">
        <v>302</v>
      </c>
      <c r="C303">
        <v>1</v>
      </c>
      <c r="D303" s="3" t="s">
        <v>303</v>
      </c>
      <c r="F303" s="3" t="s">
        <v>1256</v>
      </c>
      <c r="H303" t="s">
        <v>618</v>
      </c>
      <c r="J303" t="s">
        <v>619</v>
      </c>
      <c r="Q303" t="s">
        <v>1255</v>
      </c>
      <c r="R303">
        <v>80</v>
      </c>
      <c r="S303" t="s">
        <v>86</v>
      </c>
      <c r="T303" t="str">
        <f t="shared" si="9"/>
        <v>80mg</v>
      </c>
      <c r="U303" t="s">
        <v>86</v>
      </c>
      <c r="V303" t="s">
        <v>86</v>
      </c>
      <c r="W303" t="str">
        <f t="shared" si="8"/>
        <v>.</v>
      </c>
      <c r="X303" t="s">
        <v>86</v>
      </c>
      <c r="Y303" t="s">
        <v>86</v>
      </c>
      <c r="Z303" t="s">
        <v>86</v>
      </c>
    </row>
    <row r="304" spans="1:27" x14ac:dyDescent="0.2">
      <c r="A304" t="s">
        <v>922</v>
      </c>
      <c r="B304">
        <v>303</v>
      </c>
      <c r="C304">
        <v>1</v>
      </c>
      <c r="D304" s="3" t="s">
        <v>303</v>
      </c>
      <c r="F304" s="3" t="s">
        <v>1257</v>
      </c>
      <c r="H304" t="s">
        <v>618</v>
      </c>
      <c r="J304" t="s">
        <v>619</v>
      </c>
      <c r="Q304" t="s">
        <v>825</v>
      </c>
      <c r="R304">
        <v>80</v>
      </c>
      <c r="S304" t="s">
        <v>86</v>
      </c>
      <c r="T304" t="str">
        <f t="shared" si="9"/>
        <v>80mg</v>
      </c>
      <c r="U304" t="s">
        <v>86</v>
      </c>
      <c r="V304" t="s">
        <v>86</v>
      </c>
      <c r="W304" t="str">
        <f t="shared" si="8"/>
        <v>.</v>
      </c>
      <c r="X304" t="s">
        <v>86</v>
      </c>
      <c r="Y304" t="s">
        <v>86</v>
      </c>
      <c r="Z304" t="s">
        <v>86</v>
      </c>
    </row>
    <row r="305" spans="1:26" x14ac:dyDescent="0.2">
      <c r="A305" t="s">
        <v>922</v>
      </c>
      <c r="B305">
        <v>304</v>
      </c>
      <c r="C305">
        <v>1</v>
      </c>
      <c r="D305" s="3" t="s">
        <v>303</v>
      </c>
      <c r="F305" s="3" t="s">
        <v>1258</v>
      </c>
      <c r="H305" t="s">
        <v>305</v>
      </c>
      <c r="J305" t="s">
        <v>349</v>
      </c>
      <c r="Q305" t="s">
        <v>1259</v>
      </c>
      <c r="R305">
        <v>100</v>
      </c>
      <c r="S305" t="s">
        <v>86</v>
      </c>
      <c r="T305" t="str">
        <f t="shared" si="9"/>
        <v>100mg</v>
      </c>
      <c r="U305" t="s">
        <v>86</v>
      </c>
      <c r="V305" t="s">
        <v>86</v>
      </c>
      <c r="W305" t="str">
        <f t="shared" si="8"/>
        <v>.</v>
      </c>
      <c r="X305" t="s">
        <v>86</v>
      </c>
      <c r="Y305" t="s">
        <v>86</v>
      </c>
      <c r="Z305" t="s">
        <v>86</v>
      </c>
    </row>
    <row r="306" spans="1:26" x14ac:dyDescent="0.2">
      <c r="A306" t="s">
        <v>922</v>
      </c>
      <c r="B306">
        <v>305</v>
      </c>
      <c r="C306">
        <v>1</v>
      </c>
      <c r="D306" s="3" t="s">
        <v>303</v>
      </c>
      <c r="F306" s="3" t="s">
        <v>1258</v>
      </c>
      <c r="H306" t="s">
        <v>305</v>
      </c>
      <c r="J306" t="s">
        <v>349</v>
      </c>
      <c r="Q306" t="s">
        <v>1259</v>
      </c>
      <c r="R306">
        <v>100</v>
      </c>
      <c r="S306" t="s">
        <v>86</v>
      </c>
      <c r="T306" t="str">
        <f t="shared" si="9"/>
        <v>100mg</v>
      </c>
      <c r="U306" t="s">
        <v>86</v>
      </c>
      <c r="V306" t="s">
        <v>86</v>
      </c>
      <c r="W306" t="str">
        <f t="shared" si="8"/>
        <v>.</v>
      </c>
      <c r="X306" t="s">
        <v>86</v>
      </c>
      <c r="Y306" t="s">
        <v>86</v>
      </c>
      <c r="Z306" t="s">
        <v>86</v>
      </c>
    </row>
    <row r="307" spans="1:26" x14ac:dyDescent="0.2">
      <c r="A307" t="s">
        <v>922</v>
      </c>
      <c r="B307">
        <v>306</v>
      </c>
      <c r="C307">
        <v>1</v>
      </c>
      <c r="D307" s="3" t="s">
        <v>303</v>
      </c>
      <c r="F307" s="3" t="s">
        <v>1258</v>
      </c>
      <c r="H307" t="s">
        <v>305</v>
      </c>
      <c r="J307" t="s">
        <v>349</v>
      </c>
      <c r="Q307" t="s">
        <v>1259</v>
      </c>
      <c r="R307">
        <v>100</v>
      </c>
      <c r="S307" t="s">
        <v>86</v>
      </c>
      <c r="T307" t="str">
        <f t="shared" si="9"/>
        <v>100mg</v>
      </c>
      <c r="U307" t="s">
        <v>86</v>
      </c>
      <c r="V307" t="s">
        <v>86</v>
      </c>
      <c r="W307" t="str">
        <f t="shared" si="8"/>
        <v>.</v>
      </c>
      <c r="X307" t="s">
        <v>86</v>
      </c>
      <c r="Y307" t="s">
        <v>86</v>
      </c>
      <c r="Z307" t="s">
        <v>86</v>
      </c>
    </row>
    <row r="308" spans="1:26" x14ac:dyDescent="0.2">
      <c r="A308" t="s">
        <v>922</v>
      </c>
      <c r="B308">
        <v>307</v>
      </c>
      <c r="C308">
        <v>1</v>
      </c>
      <c r="D308" s="3" t="s">
        <v>303</v>
      </c>
      <c r="F308" s="3" t="s">
        <v>1260</v>
      </c>
      <c r="H308" t="s">
        <v>305</v>
      </c>
      <c r="J308" t="s">
        <v>349</v>
      </c>
      <c r="Q308" t="s">
        <v>1259</v>
      </c>
      <c r="R308">
        <v>25</v>
      </c>
      <c r="S308" t="s">
        <v>86</v>
      </c>
      <c r="T308" t="str">
        <f t="shared" si="9"/>
        <v>25mg</v>
      </c>
      <c r="U308" t="s">
        <v>86</v>
      </c>
      <c r="V308" t="s">
        <v>86</v>
      </c>
      <c r="W308" t="str">
        <f t="shared" si="8"/>
        <v>.</v>
      </c>
      <c r="X308" t="s">
        <v>86</v>
      </c>
      <c r="Y308" t="s">
        <v>86</v>
      </c>
      <c r="Z308" t="s">
        <v>86</v>
      </c>
    </row>
    <row r="309" spans="1:26" x14ac:dyDescent="0.2">
      <c r="A309" t="s">
        <v>922</v>
      </c>
      <c r="B309">
        <v>308</v>
      </c>
      <c r="C309">
        <v>1</v>
      </c>
      <c r="D309" s="3" t="s">
        <v>303</v>
      </c>
      <c r="F309" s="3" t="s">
        <v>1260</v>
      </c>
      <c r="H309" t="s">
        <v>305</v>
      </c>
      <c r="J309" t="s">
        <v>349</v>
      </c>
      <c r="Q309" t="s">
        <v>1259</v>
      </c>
      <c r="R309">
        <v>25</v>
      </c>
      <c r="S309" t="s">
        <v>86</v>
      </c>
      <c r="T309" t="str">
        <f t="shared" si="9"/>
        <v>25mg</v>
      </c>
      <c r="U309" t="s">
        <v>86</v>
      </c>
      <c r="V309" t="s">
        <v>86</v>
      </c>
      <c r="W309" t="str">
        <f t="shared" si="8"/>
        <v>.</v>
      </c>
      <c r="X309" t="s">
        <v>86</v>
      </c>
      <c r="Y309" t="s">
        <v>86</v>
      </c>
      <c r="Z309" t="s">
        <v>86</v>
      </c>
    </row>
    <row r="310" spans="1:26" x14ac:dyDescent="0.2">
      <c r="A310" t="s">
        <v>922</v>
      </c>
      <c r="B310">
        <v>309</v>
      </c>
      <c r="C310">
        <v>1</v>
      </c>
      <c r="D310" s="3" t="s">
        <v>303</v>
      </c>
      <c r="F310" s="3" t="s">
        <v>1024</v>
      </c>
      <c r="H310" t="s">
        <v>305</v>
      </c>
      <c r="J310" t="s">
        <v>349</v>
      </c>
      <c r="Q310" t="s">
        <v>1259</v>
      </c>
      <c r="R310">
        <v>50</v>
      </c>
      <c r="S310" t="s">
        <v>86</v>
      </c>
      <c r="T310" t="str">
        <f t="shared" si="9"/>
        <v>50mg</v>
      </c>
      <c r="U310" t="s">
        <v>86</v>
      </c>
      <c r="V310" t="s">
        <v>86</v>
      </c>
      <c r="W310" t="str">
        <f t="shared" si="8"/>
        <v>.</v>
      </c>
      <c r="X310" t="s">
        <v>86</v>
      </c>
      <c r="Y310" t="s">
        <v>86</v>
      </c>
      <c r="Z310" t="s">
        <v>86</v>
      </c>
    </row>
    <row r="311" spans="1:26" x14ac:dyDescent="0.2">
      <c r="A311" t="s">
        <v>922</v>
      </c>
      <c r="B311">
        <v>310</v>
      </c>
      <c r="C311">
        <v>1</v>
      </c>
      <c r="D311" s="3" t="s">
        <v>303</v>
      </c>
      <c r="F311" s="3" t="s">
        <v>1024</v>
      </c>
      <c r="H311" t="s">
        <v>305</v>
      </c>
      <c r="J311" t="s">
        <v>349</v>
      </c>
      <c r="Q311" t="s">
        <v>1259</v>
      </c>
      <c r="R311">
        <v>50</v>
      </c>
      <c r="S311" t="s">
        <v>86</v>
      </c>
      <c r="T311" t="str">
        <f t="shared" si="9"/>
        <v>50mg</v>
      </c>
      <c r="U311" t="s">
        <v>86</v>
      </c>
      <c r="V311" t="s">
        <v>86</v>
      </c>
      <c r="W311" t="str">
        <f t="shared" si="8"/>
        <v>.</v>
      </c>
      <c r="X311" t="s">
        <v>86</v>
      </c>
      <c r="Y311" t="s">
        <v>86</v>
      </c>
      <c r="Z311" t="s">
        <v>86</v>
      </c>
    </row>
    <row r="312" spans="1:26" x14ac:dyDescent="0.2">
      <c r="A312" t="s">
        <v>922</v>
      </c>
      <c r="B312">
        <v>311</v>
      </c>
      <c r="C312" t="e">
        <v>#N/A</v>
      </c>
      <c r="D312" s="3" t="s">
        <v>522</v>
      </c>
      <c r="F312" s="3" t="s">
        <v>1029</v>
      </c>
      <c r="H312" t="s">
        <v>618</v>
      </c>
      <c r="J312" t="s">
        <v>619</v>
      </c>
      <c r="Q312" t="s">
        <v>1261</v>
      </c>
      <c r="R312">
        <v>20</v>
      </c>
      <c r="S312" t="s">
        <v>86</v>
      </c>
      <c r="T312" t="str">
        <f t="shared" si="9"/>
        <v>20mg</v>
      </c>
      <c r="U312" t="s">
        <v>86</v>
      </c>
      <c r="V312" t="s">
        <v>86</v>
      </c>
      <c r="W312" t="str">
        <f t="shared" si="8"/>
        <v>.</v>
      </c>
      <c r="X312" t="s">
        <v>86</v>
      </c>
      <c r="Y312" t="s">
        <v>86</v>
      </c>
      <c r="Z312" t="s">
        <v>86</v>
      </c>
    </row>
    <row r="313" spans="1:26" x14ac:dyDescent="0.2">
      <c r="A313" t="s">
        <v>922</v>
      </c>
      <c r="B313">
        <v>312</v>
      </c>
      <c r="C313">
        <v>1</v>
      </c>
      <c r="D313" s="3" t="s">
        <v>303</v>
      </c>
      <c r="F313" s="3" t="s">
        <v>1262</v>
      </c>
      <c r="H313" t="s">
        <v>618</v>
      </c>
      <c r="J313" t="s">
        <v>619</v>
      </c>
      <c r="Q313" t="s">
        <v>1263</v>
      </c>
      <c r="R313">
        <v>80</v>
      </c>
      <c r="S313" t="s">
        <v>86</v>
      </c>
      <c r="T313" t="str">
        <f t="shared" si="9"/>
        <v>80mg</v>
      </c>
      <c r="U313" t="s">
        <v>86</v>
      </c>
      <c r="V313" t="s">
        <v>86</v>
      </c>
      <c r="W313" t="str">
        <f t="shared" si="8"/>
        <v>.</v>
      </c>
      <c r="X313" t="s">
        <v>86</v>
      </c>
      <c r="Y313" t="s">
        <v>86</v>
      </c>
      <c r="Z313" t="s">
        <v>86</v>
      </c>
    </row>
    <row r="314" spans="1:26" x14ac:dyDescent="0.2">
      <c r="A314" t="s">
        <v>922</v>
      </c>
      <c r="B314">
        <v>313</v>
      </c>
      <c r="C314" t="e">
        <v>#N/A</v>
      </c>
      <c r="D314" s="3" t="s">
        <v>522</v>
      </c>
      <c r="F314" s="3" t="s">
        <v>1264</v>
      </c>
      <c r="H314" t="s">
        <v>618</v>
      </c>
      <c r="J314" t="s">
        <v>619</v>
      </c>
      <c r="Q314" t="s">
        <v>1265</v>
      </c>
      <c r="R314">
        <v>20</v>
      </c>
      <c r="S314" t="s">
        <v>86</v>
      </c>
      <c r="T314" t="str">
        <f t="shared" si="9"/>
        <v>20mg</v>
      </c>
      <c r="U314" t="s">
        <v>86</v>
      </c>
      <c r="V314" t="s">
        <v>86</v>
      </c>
      <c r="W314" t="str">
        <f t="shared" si="8"/>
        <v>.</v>
      </c>
      <c r="X314" t="s">
        <v>86</v>
      </c>
      <c r="Y314" t="s">
        <v>86</v>
      </c>
      <c r="Z314" t="s">
        <v>86</v>
      </c>
    </row>
    <row r="315" spans="1:26" x14ac:dyDescent="0.2">
      <c r="A315" t="s">
        <v>922</v>
      </c>
      <c r="B315">
        <v>314</v>
      </c>
      <c r="C315">
        <v>2</v>
      </c>
      <c r="D315" s="3" t="s">
        <v>1017</v>
      </c>
      <c r="F315" s="3" t="s">
        <v>1266</v>
      </c>
      <c r="H315" t="s">
        <v>305</v>
      </c>
      <c r="Q315" t="s">
        <v>1267</v>
      </c>
      <c r="R315">
        <v>100</v>
      </c>
      <c r="S315" t="s">
        <v>86</v>
      </c>
      <c r="T315" t="str">
        <f t="shared" si="9"/>
        <v>100mg</v>
      </c>
      <c r="U315" t="s">
        <v>86</v>
      </c>
      <c r="V315" t="s">
        <v>86</v>
      </c>
      <c r="W315" t="str">
        <f t="shared" si="8"/>
        <v>.</v>
      </c>
      <c r="X315" t="s">
        <v>86</v>
      </c>
      <c r="Y315" t="s">
        <v>86</v>
      </c>
      <c r="Z315" t="s">
        <v>86</v>
      </c>
    </row>
    <row r="316" spans="1:26" x14ac:dyDescent="0.2">
      <c r="A316" t="s">
        <v>922</v>
      </c>
      <c r="B316">
        <v>315</v>
      </c>
      <c r="C316">
        <v>2</v>
      </c>
      <c r="D316" s="3" t="s">
        <v>1017</v>
      </c>
      <c r="F316" s="3" t="s">
        <v>1266</v>
      </c>
      <c r="H316" t="s">
        <v>305</v>
      </c>
      <c r="Q316" t="s">
        <v>1267</v>
      </c>
      <c r="R316">
        <v>100</v>
      </c>
      <c r="S316" t="s">
        <v>86</v>
      </c>
      <c r="T316" t="str">
        <f t="shared" si="9"/>
        <v>100mg</v>
      </c>
      <c r="U316" t="s">
        <v>86</v>
      </c>
      <c r="V316" t="s">
        <v>86</v>
      </c>
      <c r="W316" t="str">
        <f t="shared" si="8"/>
        <v>.</v>
      </c>
      <c r="X316" t="s">
        <v>86</v>
      </c>
      <c r="Y316" t="s">
        <v>86</v>
      </c>
      <c r="Z316" t="s">
        <v>86</v>
      </c>
    </row>
    <row r="317" spans="1:26" x14ac:dyDescent="0.2">
      <c r="A317" t="s">
        <v>922</v>
      </c>
      <c r="B317">
        <v>316</v>
      </c>
      <c r="C317">
        <v>1</v>
      </c>
      <c r="D317" s="3" t="s">
        <v>303</v>
      </c>
      <c r="F317" s="3" t="s">
        <v>795</v>
      </c>
      <c r="H317" t="s">
        <v>618</v>
      </c>
      <c r="J317" t="s">
        <v>619</v>
      </c>
      <c r="Q317" t="s">
        <v>1259</v>
      </c>
      <c r="R317">
        <v>20</v>
      </c>
      <c r="S317" t="s">
        <v>86</v>
      </c>
      <c r="T317" t="str">
        <f t="shared" si="9"/>
        <v>20mg</v>
      </c>
      <c r="U317" t="s">
        <v>86</v>
      </c>
      <c r="V317" t="s">
        <v>86</v>
      </c>
      <c r="W317" t="str">
        <f t="shared" si="8"/>
        <v>.</v>
      </c>
      <c r="X317" t="s">
        <v>86</v>
      </c>
      <c r="Y317" t="s">
        <v>86</v>
      </c>
      <c r="Z317" t="s">
        <v>86</v>
      </c>
    </row>
    <row r="318" spans="1:26" x14ac:dyDescent="0.2">
      <c r="A318" t="s">
        <v>922</v>
      </c>
      <c r="B318">
        <v>317</v>
      </c>
      <c r="C318">
        <v>1</v>
      </c>
      <c r="D318" s="3" t="s">
        <v>303</v>
      </c>
      <c r="F318" s="3" t="s">
        <v>1268</v>
      </c>
      <c r="H318" t="s">
        <v>618</v>
      </c>
      <c r="J318" t="s">
        <v>619</v>
      </c>
      <c r="Q318" t="s">
        <v>1259</v>
      </c>
      <c r="R318">
        <v>20</v>
      </c>
      <c r="S318" t="s">
        <v>86</v>
      </c>
      <c r="T318" t="str">
        <f t="shared" si="9"/>
        <v>20mg</v>
      </c>
      <c r="U318" t="s">
        <v>86</v>
      </c>
      <c r="V318" t="s">
        <v>86</v>
      </c>
      <c r="W318" t="str">
        <f t="shared" si="8"/>
        <v>.</v>
      </c>
      <c r="X318" t="s">
        <v>86</v>
      </c>
      <c r="Y318" t="s">
        <v>86</v>
      </c>
      <c r="Z318" t="s">
        <v>86</v>
      </c>
    </row>
    <row r="319" spans="1:26" x14ac:dyDescent="0.2">
      <c r="A319" t="s">
        <v>922</v>
      </c>
      <c r="B319">
        <v>318</v>
      </c>
      <c r="C319">
        <v>1</v>
      </c>
      <c r="D319" s="3" t="s">
        <v>303</v>
      </c>
      <c r="F319" s="3" t="s">
        <v>1268</v>
      </c>
      <c r="H319" t="s">
        <v>618</v>
      </c>
      <c r="J319" t="s">
        <v>619</v>
      </c>
      <c r="Q319" t="s">
        <v>1259</v>
      </c>
      <c r="R319">
        <v>20</v>
      </c>
      <c r="S319" t="s">
        <v>86</v>
      </c>
      <c r="T319" t="str">
        <f t="shared" si="9"/>
        <v>20mg</v>
      </c>
      <c r="U319" t="s">
        <v>86</v>
      </c>
      <c r="V319" t="s">
        <v>86</v>
      </c>
      <c r="W319" t="str">
        <f t="shared" si="8"/>
        <v>.</v>
      </c>
      <c r="X319" t="s">
        <v>86</v>
      </c>
      <c r="Y319" t="s">
        <v>86</v>
      </c>
      <c r="Z319" t="s">
        <v>86</v>
      </c>
    </row>
    <row r="320" spans="1:26" x14ac:dyDescent="0.2">
      <c r="A320" t="s">
        <v>922</v>
      </c>
      <c r="B320">
        <v>319</v>
      </c>
      <c r="C320">
        <v>1</v>
      </c>
      <c r="D320" s="3" t="s">
        <v>303</v>
      </c>
      <c r="F320" s="3" t="s">
        <v>1268</v>
      </c>
      <c r="H320" t="s">
        <v>618</v>
      </c>
      <c r="J320" t="s">
        <v>619</v>
      </c>
      <c r="Q320" t="s">
        <v>1259</v>
      </c>
      <c r="R320">
        <v>20</v>
      </c>
      <c r="S320" t="s">
        <v>86</v>
      </c>
      <c r="T320" t="str">
        <f t="shared" si="9"/>
        <v>20mg</v>
      </c>
      <c r="U320" t="s">
        <v>86</v>
      </c>
      <c r="V320" t="s">
        <v>86</v>
      </c>
      <c r="W320" t="str">
        <f t="shared" ref="W320:W383" si="10">IF(U320=".",".",IF(V320=".",_xlfn.CONCAT(U320,"mg"),_xlfn.CONCAT(U320,"mg/ ",V320,"ml")))</f>
        <v>.</v>
      </c>
      <c r="X320" t="s">
        <v>86</v>
      </c>
      <c r="Y320" t="s">
        <v>86</v>
      </c>
      <c r="Z320" t="s">
        <v>86</v>
      </c>
    </row>
    <row r="321" spans="1:26" x14ac:dyDescent="0.2">
      <c r="A321" t="s">
        <v>922</v>
      </c>
      <c r="B321">
        <v>320</v>
      </c>
      <c r="C321">
        <v>5</v>
      </c>
      <c r="D321" s="3" t="s">
        <v>783</v>
      </c>
      <c r="F321" s="3" t="s">
        <v>1269</v>
      </c>
      <c r="H321" t="s">
        <v>618</v>
      </c>
      <c r="J321" t="s">
        <v>619</v>
      </c>
      <c r="Q321" t="s">
        <v>1259</v>
      </c>
      <c r="R321">
        <v>40</v>
      </c>
      <c r="S321" t="s">
        <v>86</v>
      </c>
      <c r="T321" t="str">
        <f t="shared" si="9"/>
        <v>40mg</v>
      </c>
      <c r="U321" t="s">
        <v>86</v>
      </c>
      <c r="V321" t="s">
        <v>86</v>
      </c>
      <c r="W321" t="str">
        <f t="shared" si="10"/>
        <v>.</v>
      </c>
      <c r="X321" t="s">
        <v>86</v>
      </c>
      <c r="Y321" t="s">
        <v>86</v>
      </c>
      <c r="Z321" t="s">
        <v>86</v>
      </c>
    </row>
    <row r="322" spans="1:26" x14ac:dyDescent="0.2">
      <c r="A322" t="s">
        <v>922</v>
      </c>
      <c r="B322">
        <v>321</v>
      </c>
      <c r="C322">
        <v>5</v>
      </c>
      <c r="D322" s="3" t="s">
        <v>783</v>
      </c>
      <c r="F322" s="3" t="s">
        <v>1270</v>
      </c>
      <c r="H322" t="s">
        <v>618</v>
      </c>
      <c r="J322" t="s">
        <v>619</v>
      </c>
      <c r="Q322" t="s">
        <v>1259</v>
      </c>
      <c r="R322">
        <v>60</v>
      </c>
      <c r="S322" t="s">
        <v>86</v>
      </c>
      <c r="T322" t="str">
        <f t="shared" si="9"/>
        <v>60mg</v>
      </c>
      <c r="U322" t="s">
        <v>86</v>
      </c>
      <c r="V322" t="s">
        <v>86</v>
      </c>
      <c r="W322" t="str">
        <f t="shared" si="10"/>
        <v>.</v>
      </c>
      <c r="X322" t="s">
        <v>86</v>
      </c>
      <c r="Y322" t="s">
        <v>86</v>
      </c>
      <c r="Z322" t="s">
        <v>86</v>
      </c>
    </row>
    <row r="323" spans="1:26" x14ac:dyDescent="0.2">
      <c r="A323" t="s">
        <v>922</v>
      </c>
      <c r="B323">
        <v>322</v>
      </c>
      <c r="C323">
        <v>5</v>
      </c>
      <c r="D323" s="3" t="s">
        <v>783</v>
      </c>
      <c r="F323" s="3" t="s">
        <v>1271</v>
      </c>
      <c r="H323" t="s">
        <v>618</v>
      </c>
      <c r="J323" t="s">
        <v>619</v>
      </c>
      <c r="Q323" t="s">
        <v>1259</v>
      </c>
      <c r="R323">
        <v>80</v>
      </c>
      <c r="S323" t="s">
        <v>86</v>
      </c>
      <c r="T323" t="str">
        <f t="shared" ref="T323:T386" si="11">IF(S323=".",_xlfn.CONCAT(R323,"mg"),_xlfn.CONCAT(R323,"mg/ ",S323,"ml"))</f>
        <v>80mg</v>
      </c>
      <c r="U323" t="s">
        <v>86</v>
      </c>
      <c r="V323" t="s">
        <v>86</v>
      </c>
      <c r="W323" t="str">
        <f t="shared" si="10"/>
        <v>.</v>
      </c>
      <c r="X323" t="s">
        <v>86</v>
      </c>
      <c r="Y323" t="s">
        <v>86</v>
      </c>
      <c r="Z323" t="s">
        <v>86</v>
      </c>
    </row>
    <row r="324" spans="1:26" x14ac:dyDescent="0.2">
      <c r="A324" t="s">
        <v>922</v>
      </c>
      <c r="B324">
        <v>323</v>
      </c>
      <c r="C324" t="e">
        <v>#N/A</v>
      </c>
      <c r="D324" s="3" t="s">
        <v>522</v>
      </c>
      <c r="F324" s="3" t="s">
        <v>1272</v>
      </c>
      <c r="H324" t="s">
        <v>618</v>
      </c>
      <c r="J324" t="s">
        <v>619</v>
      </c>
      <c r="Q324" t="s">
        <v>1259</v>
      </c>
      <c r="R324">
        <v>20</v>
      </c>
      <c r="S324" t="s">
        <v>86</v>
      </c>
      <c r="T324" t="str">
        <f t="shared" si="11"/>
        <v>20mg</v>
      </c>
      <c r="U324" t="s">
        <v>86</v>
      </c>
      <c r="V324" t="s">
        <v>86</v>
      </c>
      <c r="W324" t="str">
        <f t="shared" si="10"/>
        <v>.</v>
      </c>
      <c r="X324" t="s">
        <v>86</v>
      </c>
      <c r="Y324" t="s">
        <v>86</v>
      </c>
      <c r="Z324" t="s">
        <v>86</v>
      </c>
    </row>
    <row r="325" spans="1:26" x14ac:dyDescent="0.2">
      <c r="A325" t="s">
        <v>922</v>
      </c>
      <c r="B325">
        <v>324</v>
      </c>
      <c r="C325" t="e">
        <v>#N/A</v>
      </c>
      <c r="D325" s="3" t="s">
        <v>522</v>
      </c>
      <c r="F325" s="3" t="s">
        <v>1272</v>
      </c>
      <c r="H325" t="s">
        <v>618</v>
      </c>
      <c r="J325" t="s">
        <v>619</v>
      </c>
      <c r="Q325" t="s">
        <v>1259</v>
      </c>
      <c r="R325">
        <v>20</v>
      </c>
      <c r="S325" t="s">
        <v>86</v>
      </c>
      <c r="T325" t="str">
        <f t="shared" si="11"/>
        <v>20mg</v>
      </c>
      <c r="U325" t="s">
        <v>86</v>
      </c>
      <c r="V325" t="s">
        <v>86</v>
      </c>
      <c r="W325" t="str">
        <f t="shared" si="10"/>
        <v>.</v>
      </c>
      <c r="X325" t="s">
        <v>86</v>
      </c>
      <c r="Y325" t="s">
        <v>86</v>
      </c>
      <c r="Z325" t="s">
        <v>86</v>
      </c>
    </row>
    <row r="326" spans="1:26" x14ac:dyDescent="0.2">
      <c r="A326" t="s">
        <v>922</v>
      </c>
      <c r="B326">
        <v>325</v>
      </c>
      <c r="C326" t="e">
        <v>#N/A</v>
      </c>
      <c r="D326" s="3" t="s">
        <v>522</v>
      </c>
      <c r="F326" s="3" t="s">
        <v>1272</v>
      </c>
      <c r="H326" t="s">
        <v>618</v>
      </c>
      <c r="J326" t="s">
        <v>619</v>
      </c>
      <c r="Q326" t="s">
        <v>1259</v>
      </c>
      <c r="R326">
        <v>20</v>
      </c>
      <c r="S326" t="s">
        <v>86</v>
      </c>
      <c r="T326" t="str">
        <f t="shared" si="11"/>
        <v>20mg</v>
      </c>
      <c r="U326" t="s">
        <v>86</v>
      </c>
      <c r="V326" t="s">
        <v>86</v>
      </c>
      <c r="W326" t="str">
        <f t="shared" si="10"/>
        <v>.</v>
      </c>
      <c r="X326" t="s">
        <v>86</v>
      </c>
      <c r="Y326" t="s">
        <v>86</v>
      </c>
      <c r="Z326" t="s">
        <v>86</v>
      </c>
    </row>
    <row r="327" spans="1:26" x14ac:dyDescent="0.2">
      <c r="A327" t="s">
        <v>922</v>
      </c>
      <c r="B327">
        <v>326</v>
      </c>
      <c r="C327" t="e">
        <v>#N/A</v>
      </c>
      <c r="D327" s="3" t="s">
        <v>522</v>
      </c>
      <c r="F327" s="3" t="s">
        <v>1273</v>
      </c>
      <c r="H327" t="s">
        <v>618</v>
      </c>
      <c r="J327" t="s">
        <v>619</v>
      </c>
      <c r="Q327" t="s">
        <v>1259</v>
      </c>
      <c r="R327">
        <v>40</v>
      </c>
      <c r="S327" t="s">
        <v>86</v>
      </c>
      <c r="T327" t="str">
        <f t="shared" si="11"/>
        <v>40mg</v>
      </c>
      <c r="U327" t="s">
        <v>86</v>
      </c>
      <c r="V327" t="s">
        <v>86</v>
      </c>
      <c r="W327" t="str">
        <f t="shared" si="10"/>
        <v>.</v>
      </c>
      <c r="X327" t="s">
        <v>86</v>
      </c>
      <c r="Y327" t="s">
        <v>86</v>
      </c>
      <c r="Z327" t="s">
        <v>86</v>
      </c>
    </row>
    <row r="328" spans="1:26" x14ac:dyDescent="0.2">
      <c r="A328" t="s">
        <v>922</v>
      </c>
      <c r="B328">
        <v>327</v>
      </c>
      <c r="C328">
        <v>1</v>
      </c>
      <c r="D328" s="3" t="s">
        <v>303</v>
      </c>
      <c r="F328" s="3" t="s">
        <v>1274</v>
      </c>
      <c r="H328" t="s">
        <v>618</v>
      </c>
      <c r="J328" t="s">
        <v>619</v>
      </c>
      <c r="Q328" t="s">
        <v>1275</v>
      </c>
      <c r="R328">
        <v>80</v>
      </c>
      <c r="S328" t="s">
        <v>86</v>
      </c>
      <c r="T328" t="str">
        <f t="shared" si="11"/>
        <v>80mg</v>
      </c>
      <c r="U328" t="s">
        <v>86</v>
      </c>
      <c r="V328" t="s">
        <v>86</v>
      </c>
      <c r="W328" t="str">
        <f t="shared" si="10"/>
        <v>.</v>
      </c>
      <c r="X328" t="s">
        <v>86</v>
      </c>
      <c r="Y328" t="s">
        <v>86</v>
      </c>
      <c r="Z328" t="s">
        <v>86</v>
      </c>
    </row>
    <row r="329" spans="1:26" x14ac:dyDescent="0.2">
      <c r="A329" t="s">
        <v>922</v>
      </c>
      <c r="B329">
        <v>328</v>
      </c>
      <c r="C329">
        <v>1</v>
      </c>
      <c r="D329" s="3" t="s">
        <v>303</v>
      </c>
      <c r="F329" s="3" t="s">
        <v>1276</v>
      </c>
      <c r="H329" t="s">
        <v>618</v>
      </c>
      <c r="J329" t="s">
        <v>619</v>
      </c>
      <c r="Q329" t="s">
        <v>936</v>
      </c>
      <c r="R329">
        <v>20</v>
      </c>
      <c r="S329" t="s">
        <v>86</v>
      </c>
      <c r="T329" t="str">
        <f t="shared" si="11"/>
        <v>20mg</v>
      </c>
      <c r="U329" t="s">
        <v>86</v>
      </c>
      <c r="V329" t="s">
        <v>86</v>
      </c>
      <c r="W329" t="str">
        <f t="shared" si="10"/>
        <v>.</v>
      </c>
      <c r="X329" t="s">
        <v>86</v>
      </c>
      <c r="Y329" t="s">
        <v>86</v>
      </c>
      <c r="Z329" t="s">
        <v>86</v>
      </c>
    </row>
    <row r="330" spans="1:26" x14ac:dyDescent="0.2">
      <c r="A330" t="s">
        <v>922</v>
      </c>
      <c r="B330">
        <v>329</v>
      </c>
      <c r="C330">
        <v>2</v>
      </c>
      <c r="D330" s="3" t="s">
        <v>1017</v>
      </c>
      <c r="F330" s="3" t="s">
        <v>1277</v>
      </c>
      <c r="H330" t="s">
        <v>618</v>
      </c>
      <c r="Q330" t="s">
        <v>938</v>
      </c>
      <c r="R330">
        <v>40</v>
      </c>
      <c r="S330" t="s">
        <v>86</v>
      </c>
      <c r="T330" t="str">
        <f t="shared" si="11"/>
        <v>40mg</v>
      </c>
      <c r="U330" t="s">
        <v>86</v>
      </c>
      <c r="V330" t="s">
        <v>86</v>
      </c>
      <c r="W330" t="str">
        <f t="shared" si="10"/>
        <v>.</v>
      </c>
      <c r="X330" t="s">
        <v>86</v>
      </c>
      <c r="Y330" t="s">
        <v>86</v>
      </c>
      <c r="Z330" t="s">
        <v>86</v>
      </c>
    </row>
    <row r="331" spans="1:26" x14ac:dyDescent="0.2">
      <c r="A331" t="s">
        <v>922</v>
      </c>
      <c r="B331">
        <v>330</v>
      </c>
      <c r="C331">
        <v>1</v>
      </c>
      <c r="D331" s="3" t="s">
        <v>303</v>
      </c>
      <c r="F331" s="3" t="s">
        <v>1278</v>
      </c>
      <c r="H331" t="s">
        <v>305</v>
      </c>
      <c r="J331" t="s">
        <v>349</v>
      </c>
      <c r="Q331" t="s">
        <v>963</v>
      </c>
      <c r="R331">
        <v>100</v>
      </c>
      <c r="S331" t="s">
        <v>86</v>
      </c>
      <c r="T331" t="str">
        <f t="shared" si="11"/>
        <v>100mg</v>
      </c>
      <c r="U331" t="s">
        <v>86</v>
      </c>
      <c r="V331" t="s">
        <v>86</v>
      </c>
      <c r="W331" t="str">
        <f t="shared" si="10"/>
        <v>.</v>
      </c>
      <c r="X331" t="s">
        <v>86</v>
      </c>
      <c r="Y331" t="s">
        <v>86</v>
      </c>
      <c r="Z331" t="s">
        <v>86</v>
      </c>
    </row>
    <row r="332" spans="1:26" x14ac:dyDescent="0.2">
      <c r="A332" t="s">
        <v>922</v>
      </c>
      <c r="B332">
        <v>331</v>
      </c>
      <c r="C332">
        <v>1</v>
      </c>
      <c r="D332" s="3" t="s">
        <v>303</v>
      </c>
      <c r="F332" s="3" t="s">
        <v>1278</v>
      </c>
      <c r="H332" t="s">
        <v>305</v>
      </c>
      <c r="J332" t="s">
        <v>349</v>
      </c>
      <c r="Q332" t="s">
        <v>963</v>
      </c>
      <c r="R332">
        <v>100</v>
      </c>
      <c r="S332" t="s">
        <v>86</v>
      </c>
      <c r="T332" t="str">
        <f t="shared" si="11"/>
        <v>100mg</v>
      </c>
      <c r="U332" t="s">
        <v>86</v>
      </c>
      <c r="V332" t="s">
        <v>86</v>
      </c>
      <c r="W332" t="str">
        <f t="shared" si="10"/>
        <v>.</v>
      </c>
      <c r="X332" t="s">
        <v>86</v>
      </c>
      <c r="Y332" t="s">
        <v>86</v>
      </c>
      <c r="Z332" t="s">
        <v>86</v>
      </c>
    </row>
    <row r="333" spans="1:26" x14ac:dyDescent="0.2">
      <c r="A333" t="s">
        <v>922</v>
      </c>
      <c r="B333">
        <v>332</v>
      </c>
      <c r="C333">
        <v>1</v>
      </c>
      <c r="D333" s="3" t="s">
        <v>303</v>
      </c>
      <c r="F333" s="3" t="s">
        <v>1278</v>
      </c>
      <c r="H333" t="s">
        <v>305</v>
      </c>
      <c r="J333" t="s">
        <v>349</v>
      </c>
      <c r="Q333" t="s">
        <v>963</v>
      </c>
      <c r="R333">
        <v>25</v>
      </c>
      <c r="S333" t="s">
        <v>86</v>
      </c>
      <c r="T333" t="str">
        <f t="shared" si="11"/>
        <v>25mg</v>
      </c>
      <c r="U333" t="s">
        <v>86</v>
      </c>
      <c r="V333" t="s">
        <v>86</v>
      </c>
      <c r="W333" t="str">
        <f t="shared" si="10"/>
        <v>.</v>
      </c>
      <c r="X333" t="s">
        <v>86</v>
      </c>
      <c r="Y333" t="s">
        <v>86</v>
      </c>
      <c r="Z333" t="s">
        <v>86</v>
      </c>
    </row>
    <row r="334" spans="1:26" x14ac:dyDescent="0.2">
      <c r="A334" t="s">
        <v>922</v>
      </c>
      <c r="B334">
        <v>333</v>
      </c>
      <c r="C334">
        <v>1</v>
      </c>
      <c r="D334" s="3" t="s">
        <v>303</v>
      </c>
      <c r="F334" s="3" t="s">
        <v>1278</v>
      </c>
      <c r="H334" t="s">
        <v>305</v>
      </c>
      <c r="J334" t="s">
        <v>349</v>
      </c>
      <c r="Q334" t="s">
        <v>963</v>
      </c>
      <c r="R334">
        <v>50</v>
      </c>
      <c r="S334" t="s">
        <v>86</v>
      </c>
      <c r="T334" t="str">
        <f t="shared" si="11"/>
        <v>50mg</v>
      </c>
      <c r="U334" t="s">
        <v>86</v>
      </c>
      <c r="V334" t="s">
        <v>86</v>
      </c>
      <c r="W334" t="str">
        <f t="shared" si="10"/>
        <v>.</v>
      </c>
      <c r="X334" t="s">
        <v>86</v>
      </c>
      <c r="Y334" t="s">
        <v>86</v>
      </c>
      <c r="Z334" t="s">
        <v>86</v>
      </c>
    </row>
    <row r="335" spans="1:26" x14ac:dyDescent="0.2">
      <c r="A335" t="s">
        <v>922</v>
      </c>
      <c r="B335">
        <v>334</v>
      </c>
      <c r="C335">
        <v>2</v>
      </c>
      <c r="D335" s="3" t="s">
        <v>1017</v>
      </c>
      <c r="F335" s="3" t="s">
        <v>1279</v>
      </c>
      <c r="H335" t="s">
        <v>305</v>
      </c>
      <c r="Q335" t="s">
        <v>1280</v>
      </c>
      <c r="R335">
        <v>100</v>
      </c>
      <c r="S335" t="s">
        <v>86</v>
      </c>
      <c r="T335" t="str">
        <f t="shared" si="11"/>
        <v>100mg</v>
      </c>
      <c r="U335" t="s">
        <v>86</v>
      </c>
      <c r="V335" t="s">
        <v>86</v>
      </c>
      <c r="W335" t="str">
        <f t="shared" si="10"/>
        <v>.</v>
      </c>
      <c r="X335" t="s">
        <v>86</v>
      </c>
      <c r="Y335" t="s">
        <v>86</v>
      </c>
      <c r="Z335" t="s">
        <v>86</v>
      </c>
    </row>
    <row r="336" spans="1:26" x14ac:dyDescent="0.2">
      <c r="A336" t="s">
        <v>922</v>
      </c>
      <c r="B336">
        <v>335</v>
      </c>
      <c r="C336">
        <v>2</v>
      </c>
      <c r="D336" s="3" t="s">
        <v>1017</v>
      </c>
      <c r="F336" s="3" t="s">
        <v>1281</v>
      </c>
      <c r="H336" t="s">
        <v>305</v>
      </c>
      <c r="Q336" t="s">
        <v>1280</v>
      </c>
      <c r="R336">
        <v>200</v>
      </c>
      <c r="S336" t="s">
        <v>86</v>
      </c>
      <c r="T336" t="str">
        <f t="shared" si="11"/>
        <v>200mg</v>
      </c>
      <c r="U336" t="s">
        <v>86</v>
      </c>
      <c r="V336" t="s">
        <v>86</v>
      </c>
      <c r="W336" t="str">
        <f t="shared" si="10"/>
        <v>.</v>
      </c>
      <c r="X336" t="s">
        <v>86</v>
      </c>
      <c r="Y336" t="s">
        <v>86</v>
      </c>
      <c r="Z336" t="s">
        <v>86</v>
      </c>
    </row>
    <row r="337" spans="1:26" x14ac:dyDescent="0.2">
      <c r="A337" t="s">
        <v>922</v>
      </c>
      <c r="B337">
        <v>336</v>
      </c>
      <c r="C337">
        <v>2</v>
      </c>
      <c r="D337" s="3" t="s">
        <v>1017</v>
      </c>
      <c r="F337" s="3" t="s">
        <v>1282</v>
      </c>
      <c r="H337" t="s">
        <v>305</v>
      </c>
      <c r="Q337" t="s">
        <v>1280</v>
      </c>
      <c r="R337">
        <v>50</v>
      </c>
      <c r="S337" t="s">
        <v>86</v>
      </c>
      <c r="T337" t="str">
        <f t="shared" si="11"/>
        <v>50mg</v>
      </c>
      <c r="U337" t="s">
        <v>86</v>
      </c>
      <c r="V337" t="s">
        <v>86</v>
      </c>
      <c r="W337" t="str">
        <f t="shared" si="10"/>
        <v>.</v>
      </c>
      <c r="X337" t="s">
        <v>86</v>
      </c>
      <c r="Y337" t="s">
        <v>86</v>
      </c>
      <c r="Z337" t="s">
        <v>86</v>
      </c>
    </row>
    <row r="338" spans="1:26" x14ac:dyDescent="0.2">
      <c r="A338" t="s">
        <v>922</v>
      </c>
      <c r="B338">
        <v>337</v>
      </c>
      <c r="C338">
        <v>1</v>
      </c>
      <c r="D338" s="3" t="s">
        <v>303</v>
      </c>
      <c r="F338" s="3" t="s">
        <v>1283</v>
      </c>
      <c r="H338" t="s">
        <v>618</v>
      </c>
      <c r="J338" t="s">
        <v>619</v>
      </c>
      <c r="Q338" t="s">
        <v>1284</v>
      </c>
      <c r="R338">
        <v>20</v>
      </c>
      <c r="S338" t="s">
        <v>86</v>
      </c>
      <c r="T338" t="str">
        <f t="shared" si="11"/>
        <v>20mg</v>
      </c>
      <c r="U338" t="s">
        <v>86</v>
      </c>
      <c r="V338" t="s">
        <v>86</v>
      </c>
      <c r="W338" t="str">
        <f t="shared" si="10"/>
        <v>.</v>
      </c>
      <c r="X338" t="s">
        <v>86</v>
      </c>
      <c r="Y338" t="s">
        <v>86</v>
      </c>
      <c r="Z338" t="s">
        <v>86</v>
      </c>
    </row>
    <row r="339" spans="1:26" x14ac:dyDescent="0.2">
      <c r="A339" t="s">
        <v>922</v>
      </c>
      <c r="B339">
        <v>338</v>
      </c>
      <c r="C339">
        <v>1</v>
      </c>
      <c r="D339" s="3" t="s">
        <v>303</v>
      </c>
      <c r="F339" s="3" t="s">
        <v>1285</v>
      </c>
      <c r="H339" t="s">
        <v>618</v>
      </c>
      <c r="J339" t="s">
        <v>619</v>
      </c>
      <c r="Q339" t="s">
        <v>1284</v>
      </c>
      <c r="R339">
        <v>40</v>
      </c>
      <c r="S339" t="s">
        <v>86</v>
      </c>
      <c r="T339" t="str">
        <f t="shared" si="11"/>
        <v>40mg</v>
      </c>
      <c r="U339" t="s">
        <v>86</v>
      </c>
      <c r="V339" t="s">
        <v>86</v>
      </c>
      <c r="W339" t="str">
        <f t="shared" si="10"/>
        <v>.</v>
      </c>
      <c r="X339" t="s">
        <v>86</v>
      </c>
      <c r="Y339" t="s">
        <v>86</v>
      </c>
      <c r="Z339" t="s">
        <v>86</v>
      </c>
    </row>
    <row r="340" spans="1:26" x14ac:dyDescent="0.2">
      <c r="A340" t="s">
        <v>922</v>
      </c>
      <c r="B340">
        <v>339</v>
      </c>
      <c r="C340">
        <v>1</v>
      </c>
      <c r="D340" s="3" t="s">
        <v>303</v>
      </c>
      <c r="F340" s="3" t="s">
        <v>1286</v>
      </c>
      <c r="H340" t="s">
        <v>618</v>
      </c>
      <c r="J340" t="s">
        <v>619</v>
      </c>
      <c r="Q340" t="s">
        <v>1284</v>
      </c>
      <c r="R340">
        <v>80</v>
      </c>
      <c r="S340" t="s">
        <v>86</v>
      </c>
      <c r="T340" t="str">
        <f t="shared" si="11"/>
        <v>80mg</v>
      </c>
      <c r="U340" t="s">
        <v>86</v>
      </c>
      <c r="V340" t="s">
        <v>86</v>
      </c>
      <c r="W340" t="str">
        <f t="shared" si="10"/>
        <v>.</v>
      </c>
      <c r="X340" t="s">
        <v>86</v>
      </c>
      <c r="Y340" t="s">
        <v>86</v>
      </c>
      <c r="Z340" t="s">
        <v>86</v>
      </c>
    </row>
    <row r="341" spans="1:26" x14ac:dyDescent="0.2">
      <c r="A341" t="s">
        <v>922</v>
      </c>
      <c r="B341">
        <v>340</v>
      </c>
      <c r="C341">
        <v>1</v>
      </c>
      <c r="D341" s="3" t="s">
        <v>303</v>
      </c>
      <c r="F341" s="3" t="s">
        <v>1287</v>
      </c>
      <c r="H341" t="s">
        <v>618</v>
      </c>
      <c r="J341" t="s">
        <v>619</v>
      </c>
      <c r="Q341" t="s">
        <v>945</v>
      </c>
      <c r="R341">
        <v>80</v>
      </c>
      <c r="S341" t="s">
        <v>86</v>
      </c>
      <c r="T341" t="str">
        <f t="shared" si="11"/>
        <v>80mg</v>
      </c>
      <c r="U341" t="s">
        <v>86</v>
      </c>
      <c r="V341" t="s">
        <v>86</v>
      </c>
      <c r="W341" t="str">
        <f t="shared" si="10"/>
        <v>.</v>
      </c>
      <c r="X341" t="s">
        <v>86</v>
      </c>
      <c r="Y341" t="s">
        <v>86</v>
      </c>
      <c r="Z341" t="s">
        <v>86</v>
      </c>
    </row>
    <row r="342" spans="1:26" x14ac:dyDescent="0.2">
      <c r="A342" t="s">
        <v>922</v>
      </c>
      <c r="B342">
        <v>341</v>
      </c>
      <c r="C342" t="e">
        <v>#N/A</v>
      </c>
      <c r="D342" s="3" t="s">
        <v>522</v>
      </c>
      <c r="F342" s="3" t="s">
        <v>1288</v>
      </c>
      <c r="H342" t="s">
        <v>618</v>
      </c>
      <c r="J342" t="s">
        <v>619</v>
      </c>
      <c r="Q342" t="s">
        <v>1005</v>
      </c>
      <c r="R342">
        <v>20</v>
      </c>
      <c r="S342" t="s">
        <v>86</v>
      </c>
      <c r="T342" t="str">
        <f t="shared" si="11"/>
        <v>20mg</v>
      </c>
      <c r="U342" t="s">
        <v>86</v>
      </c>
      <c r="V342" t="s">
        <v>86</v>
      </c>
      <c r="W342" t="str">
        <f t="shared" si="10"/>
        <v>.</v>
      </c>
      <c r="X342" t="s">
        <v>86</v>
      </c>
      <c r="Y342" t="s">
        <v>86</v>
      </c>
      <c r="Z342" t="s">
        <v>86</v>
      </c>
    </row>
    <row r="343" spans="1:26" x14ac:dyDescent="0.2">
      <c r="A343" t="s">
        <v>922</v>
      </c>
      <c r="B343">
        <v>342</v>
      </c>
      <c r="C343">
        <v>1</v>
      </c>
      <c r="D343" s="3" t="s">
        <v>303</v>
      </c>
      <c r="F343" s="3" t="s">
        <v>1289</v>
      </c>
      <c r="H343" t="s">
        <v>618</v>
      </c>
      <c r="J343" t="s">
        <v>619</v>
      </c>
      <c r="Q343" t="s">
        <v>1005</v>
      </c>
      <c r="R343">
        <v>40</v>
      </c>
      <c r="S343" t="s">
        <v>86</v>
      </c>
      <c r="T343" t="str">
        <f t="shared" si="11"/>
        <v>40mg</v>
      </c>
      <c r="U343" t="s">
        <v>86</v>
      </c>
      <c r="V343" t="s">
        <v>86</v>
      </c>
      <c r="W343" t="str">
        <f t="shared" si="10"/>
        <v>.</v>
      </c>
      <c r="X343" t="s">
        <v>86</v>
      </c>
      <c r="Y343" t="s">
        <v>86</v>
      </c>
      <c r="Z343" t="s">
        <v>86</v>
      </c>
    </row>
    <row r="344" spans="1:26" x14ac:dyDescent="0.2">
      <c r="A344" t="s">
        <v>922</v>
      </c>
      <c r="B344">
        <v>343</v>
      </c>
      <c r="C344">
        <v>1</v>
      </c>
      <c r="D344" s="3" t="s">
        <v>303</v>
      </c>
      <c r="F344" s="3" t="s">
        <v>1290</v>
      </c>
      <c r="H344" t="s">
        <v>618</v>
      </c>
      <c r="J344" t="s">
        <v>619</v>
      </c>
      <c r="Q344" t="s">
        <v>1005</v>
      </c>
      <c r="R344">
        <v>80</v>
      </c>
      <c r="S344" t="s">
        <v>86</v>
      </c>
      <c r="T344" t="str">
        <f t="shared" si="11"/>
        <v>80mg</v>
      </c>
      <c r="U344" t="s">
        <v>86</v>
      </c>
      <c r="V344" t="s">
        <v>86</v>
      </c>
      <c r="W344" t="str">
        <f t="shared" si="10"/>
        <v>.</v>
      </c>
      <c r="X344" t="s">
        <v>86</v>
      </c>
      <c r="Y344" t="s">
        <v>86</v>
      </c>
      <c r="Z344" t="s">
        <v>86</v>
      </c>
    </row>
    <row r="345" spans="1:26" x14ac:dyDescent="0.2">
      <c r="A345" t="s">
        <v>922</v>
      </c>
      <c r="B345">
        <v>344</v>
      </c>
      <c r="C345">
        <v>1</v>
      </c>
      <c r="D345" s="3" t="s">
        <v>303</v>
      </c>
      <c r="F345" s="3" t="s">
        <v>1291</v>
      </c>
      <c r="H345" t="s">
        <v>618</v>
      </c>
      <c r="J345" t="s">
        <v>619</v>
      </c>
      <c r="Q345" t="s">
        <v>946</v>
      </c>
      <c r="R345">
        <v>40</v>
      </c>
      <c r="S345" t="s">
        <v>86</v>
      </c>
      <c r="T345" t="str">
        <f t="shared" si="11"/>
        <v>40mg</v>
      </c>
      <c r="U345" t="s">
        <v>86</v>
      </c>
      <c r="V345" t="s">
        <v>86</v>
      </c>
      <c r="W345" t="str">
        <f t="shared" si="10"/>
        <v>.</v>
      </c>
      <c r="X345" t="s">
        <v>86</v>
      </c>
      <c r="Y345" t="s">
        <v>86</v>
      </c>
      <c r="Z345" t="s">
        <v>86</v>
      </c>
    </row>
    <row r="346" spans="1:26" x14ac:dyDescent="0.2">
      <c r="A346" t="s">
        <v>922</v>
      </c>
      <c r="B346">
        <v>345</v>
      </c>
      <c r="C346">
        <v>1</v>
      </c>
      <c r="D346" s="3" t="s">
        <v>303</v>
      </c>
      <c r="F346" s="3" t="s">
        <v>1292</v>
      </c>
      <c r="H346" t="s">
        <v>305</v>
      </c>
      <c r="J346" t="s">
        <v>745</v>
      </c>
      <c r="Q346" t="s">
        <v>1293</v>
      </c>
      <c r="R346">
        <v>200</v>
      </c>
      <c r="S346" t="s">
        <v>86</v>
      </c>
      <c r="T346" t="str">
        <f t="shared" si="11"/>
        <v>200mg</v>
      </c>
      <c r="U346" t="s">
        <v>86</v>
      </c>
      <c r="V346" t="s">
        <v>86</v>
      </c>
      <c r="W346" t="str">
        <f t="shared" si="10"/>
        <v>.</v>
      </c>
      <c r="X346" t="s">
        <v>86</v>
      </c>
      <c r="Y346" t="s">
        <v>86</v>
      </c>
      <c r="Z346" t="s">
        <v>86</v>
      </c>
    </row>
    <row r="347" spans="1:26" x14ac:dyDescent="0.2">
      <c r="A347" t="s">
        <v>922</v>
      </c>
      <c r="B347">
        <v>346</v>
      </c>
      <c r="C347">
        <v>1</v>
      </c>
      <c r="D347" s="3" t="s">
        <v>303</v>
      </c>
      <c r="F347" s="3" t="s">
        <v>949</v>
      </c>
      <c r="H347" t="s">
        <v>618</v>
      </c>
      <c r="J347" t="s">
        <v>619</v>
      </c>
      <c r="Q347" t="s">
        <v>950</v>
      </c>
      <c r="R347">
        <v>40</v>
      </c>
      <c r="S347" t="s">
        <v>86</v>
      </c>
      <c r="T347" t="str">
        <f t="shared" si="11"/>
        <v>40mg</v>
      </c>
      <c r="U347" t="s">
        <v>86</v>
      </c>
      <c r="V347" t="s">
        <v>86</v>
      </c>
      <c r="W347" t="str">
        <f t="shared" si="10"/>
        <v>.</v>
      </c>
      <c r="X347" t="s">
        <v>86</v>
      </c>
      <c r="Y347" t="s">
        <v>86</v>
      </c>
      <c r="Z347" t="s">
        <v>86</v>
      </c>
    </row>
    <row r="348" spans="1:26" x14ac:dyDescent="0.2">
      <c r="A348" t="s">
        <v>922</v>
      </c>
      <c r="B348">
        <v>347</v>
      </c>
      <c r="C348">
        <v>1</v>
      </c>
      <c r="D348" s="3" t="s">
        <v>303</v>
      </c>
      <c r="F348" s="3" t="s">
        <v>1294</v>
      </c>
      <c r="H348" t="s">
        <v>618</v>
      </c>
      <c r="J348" t="s">
        <v>619</v>
      </c>
      <c r="Q348" t="s">
        <v>982</v>
      </c>
      <c r="R348">
        <v>40</v>
      </c>
      <c r="S348" t="s">
        <v>86</v>
      </c>
      <c r="T348" t="str">
        <f t="shared" si="11"/>
        <v>40mg</v>
      </c>
      <c r="U348" t="s">
        <v>86</v>
      </c>
      <c r="V348" t="s">
        <v>86</v>
      </c>
      <c r="W348" t="str">
        <f t="shared" si="10"/>
        <v>.</v>
      </c>
      <c r="X348" t="s">
        <v>86</v>
      </c>
      <c r="Y348" t="s">
        <v>86</v>
      </c>
      <c r="Z348" t="s">
        <v>86</v>
      </c>
    </row>
    <row r="349" spans="1:26" x14ac:dyDescent="0.2">
      <c r="A349" t="s">
        <v>922</v>
      </c>
      <c r="B349">
        <v>348</v>
      </c>
      <c r="C349">
        <v>1</v>
      </c>
      <c r="D349" s="3" t="s">
        <v>303</v>
      </c>
      <c r="F349" s="3" t="s">
        <v>1295</v>
      </c>
      <c r="H349" t="s">
        <v>305</v>
      </c>
      <c r="J349" t="s">
        <v>745</v>
      </c>
      <c r="Q349" t="s">
        <v>1296</v>
      </c>
      <c r="R349">
        <v>200</v>
      </c>
      <c r="S349" t="s">
        <v>86</v>
      </c>
      <c r="T349" t="str">
        <f t="shared" si="11"/>
        <v>200mg</v>
      </c>
      <c r="U349" t="s">
        <v>86</v>
      </c>
      <c r="V349" t="s">
        <v>86</v>
      </c>
      <c r="W349" t="str">
        <f t="shared" si="10"/>
        <v>.</v>
      </c>
      <c r="X349" t="s">
        <v>86</v>
      </c>
      <c r="Y349" t="s">
        <v>86</v>
      </c>
      <c r="Z349" t="s">
        <v>86</v>
      </c>
    </row>
    <row r="350" spans="1:26" x14ac:dyDescent="0.2">
      <c r="A350" t="s">
        <v>922</v>
      </c>
      <c r="B350">
        <v>349</v>
      </c>
      <c r="C350">
        <v>1</v>
      </c>
      <c r="D350" s="3" t="s">
        <v>303</v>
      </c>
      <c r="F350" s="3" t="s">
        <v>1297</v>
      </c>
      <c r="H350" t="s">
        <v>618</v>
      </c>
      <c r="J350" t="s">
        <v>619</v>
      </c>
      <c r="Q350" t="s">
        <v>952</v>
      </c>
      <c r="R350">
        <v>80</v>
      </c>
      <c r="S350" t="s">
        <v>86</v>
      </c>
      <c r="T350" t="str">
        <f t="shared" si="11"/>
        <v>80mg</v>
      </c>
      <c r="U350" t="s">
        <v>86</v>
      </c>
      <c r="V350" t="s">
        <v>86</v>
      </c>
      <c r="W350" t="str">
        <f t="shared" si="10"/>
        <v>.</v>
      </c>
      <c r="X350" t="s">
        <v>86</v>
      </c>
      <c r="Y350" t="s">
        <v>86</v>
      </c>
      <c r="Z350" t="s">
        <v>86</v>
      </c>
    </row>
    <row r="351" spans="1:26" x14ac:dyDescent="0.2">
      <c r="A351" t="s">
        <v>922</v>
      </c>
      <c r="B351">
        <v>350</v>
      </c>
      <c r="C351" t="e">
        <v>#N/A</v>
      </c>
      <c r="D351" s="3" t="s">
        <v>1298</v>
      </c>
      <c r="F351" s="3" t="s">
        <v>1299</v>
      </c>
      <c r="H351" t="s">
        <v>618</v>
      </c>
      <c r="J351" t="s">
        <v>619</v>
      </c>
      <c r="Q351" t="s">
        <v>1300</v>
      </c>
      <c r="R351">
        <v>80</v>
      </c>
      <c r="S351" t="s">
        <v>86</v>
      </c>
      <c r="T351" t="str">
        <f t="shared" si="11"/>
        <v>80mg</v>
      </c>
      <c r="U351" t="s">
        <v>86</v>
      </c>
      <c r="V351" t="s">
        <v>86</v>
      </c>
      <c r="W351" t="str">
        <f t="shared" si="10"/>
        <v>.</v>
      </c>
      <c r="X351" t="s">
        <v>86</v>
      </c>
      <c r="Y351" t="s">
        <v>86</v>
      </c>
      <c r="Z351" t="s">
        <v>86</v>
      </c>
    </row>
    <row r="352" spans="1:26" x14ac:dyDescent="0.2">
      <c r="A352" t="s">
        <v>922</v>
      </c>
      <c r="B352">
        <v>351</v>
      </c>
      <c r="C352" t="e">
        <v>#N/A</v>
      </c>
      <c r="D352" s="3" t="s">
        <v>522</v>
      </c>
      <c r="F352" s="3" t="s">
        <v>1301</v>
      </c>
      <c r="H352" t="s">
        <v>618</v>
      </c>
      <c r="J352" t="s">
        <v>619</v>
      </c>
      <c r="Q352" t="s">
        <v>1302</v>
      </c>
      <c r="R352">
        <v>20</v>
      </c>
      <c r="S352" t="s">
        <v>86</v>
      </c>
      <c r="T352" t="str">
        <f t="shared" si="11"/>
        <v>20mg</v>
      </c>
      <c r="U352" t="s">
        <v>86</v>
      </c>
      <c r="V352" t="s">
        <v>86</v>
      </c>
      <c r="W352" t="str">
        <f t="shared" si="10"/>
        <v>.</v>
      </c>
      <c r="X352" t="s">
        <v>86</v>
      </c>
      <c r="Y352" t="s">
        <v>86</v>
      </c>
      <c r="Z352" t="s">
        <v>86</v>
      </c>
    </row>
    <row r="353" spans="1:26" x14ac:dyDescent="0.2">
      <c r="A353" t="s">
        <v>922</v>
      </c>
      <c r="B353">
        <v>352</v>
      </c>
      <c r="C353" t="e">
        <v>#N/A</v>
      </c>
      <c r="D353" s="3" t="s">
        <v>522</v>
      </c>
      <c r="F353" s="3" t="s">
        <v>1303</v>
      </c>
      <c r="H353" t="s">
        <v>618</v>
      </c>
      <c r="J353" t="s">
        <v>619</v>
      </c>
      <c r="Q353" t="s">
        <v>1302</v>
      </c>
      <c r="R353">
        <v>40</v>
      </c>
      <c r="S353" t="s">
        <v>86</v>
      </c>
      <c r="T353" t="str">
        <f t="shared" si="11"/>
        <v>40mg</v>
      </c>
      <c r="U353" t="s">
        <v>86</v>
      </c>
      <c r="V353" t="s">
        <v>86</v>
      </c>
      <c r="W353" t="str">
        <f t="shared" si="10"/>
        <v>.</v>
      </c>
      <c r="X353" t="s">
        <v>86</v>
      </c>
      <c r="Y353" t="s">
        <v>86</v>
      </c>
      <c r="Z353" t="s">
        <v>86</v>
      </c>
    </row>
    <row r="354" spans="1:26" x14ac:dyDescent="0.2">
      <c r="A354" t="s">
        <v>922</v>
      </c>
      <c r="B354">
        <v>353</v>
      </c>
      <c r="C354" t="e">
        <v>#N/A</v>
      </c>
      <c r="D354" s="3" t="s">
        <v>522</v>
      </c>
      <c r="F354" s="3" t="s">
        <v>1304</v>
      </c>
      <c r="H354" t="s">
        <v>618</v>
      </c>
      <c r="J354" t="s">
        <v>619</v>
      </c>
      <c r="Q354" t="s">
        <v>1302</v>
      </c>
      <c r="R354">
        <v>60</v>
      </c>
      <c r="S354" t="s">
        <v>86</v>
      </c>
      <c r="T354" t="str">
        <f t="shared" si="11"/>
        <v>60mg</v>
      </c>
      <c r="U354" t="s">
        <v>86</v>
      </c>
      <c r="V354" t="s">
        <v>86</v>
      </c>
      <c r="W354" t="str">
        <f t="shared" si="10"/>
        <v>.</v>
      </c>
      <c r="X354" t="s">
        <v>86</v>
      </c>
      <c r="Y354" t="s">
        <v>86</v>
      </c>
      <c r="Z354" t="s">
        <v>86</v>
      </c>
    </row>
    <row r="355" spans="1:26" x14ac:dyDescent="0.2">
      <c r="A355" t="s">
        <v>922</v>
      </c>
      <c r="B355">
        <v>354</v>
      </c>
      <c r="C355">
        <v>1</v>
      </c>
      <c r="D355" s="3" t="s">
        <v>303</v>
      </c>
      <c r="F355" s="3" t="s">
        <v>1305</v>
      </c>
      <c r="H355" t="s">
        <v>618</v>
      </c>
      <c r="J355" t="s">
        <v>619</v>
      </c>
      <c r="Q355" t="s">
        <v>1306</v>
      </c>
      <c r="R355">
        <v>80</v>
      </c>
      <c r="S355" t="s">
        <v>86</v>
      </c>
      <c r="T355" t="str">
        <f t="shared" si="11"/>
        <v>80mg</v>
      </c>
      <c r="U355" t="s">
        <v>86</v>
      </c>
      <c r="V355" t="s">
        <v>86</v>
      </c>
      <c r="W355" t="str">
        <f t="shared" si="10"/>
        <v>.</v>
      </c>
      <c r="X355" t="s">
        <v>86</v>
      </c>
      <c r="Y355" t="s">
        <v>86</v>
      </c>
      <c r="Z355" t="s">
        <v>86</v>
      </c>
    </row>
    <row r="356" spans="1:26" x14ac:dyDescent="0.2">
      <c r="A356" t="s">
        <v>922</v>
      </c>
      <c r="B356">
        <v>355</v>
      </c>
      <c r="C356" t="e">
        <v>#N/A</v>
      </c>
      <c r="D356" s="3" t="s">
        <v>522</v>
      </c>
      <c r="F356" s="3" t="s">
        <v>824</v>
      </c>
      <c r="H356" t="s">
        <v>618</v>
      </c>
      <c r="J356" t="s">
        <v>619</v>
      </c>
      <c r="Q356" t="s">
        <v>1307</v>
      </c>
      <c r="R356">
        <v>20</v>
      </c>
      <c r="S356" t="s">
        <v>86</v>
      </c>
      <c r="T356" t="str">
        <f t="shared" si="11"/>
        <v>20mg</v>
      </c>
      <c r="U356" t="s">
        <v>86</v>
      </c>
      <c r="V356" t="s">
        <v>86</v>
      </c>
      <c r="W356" t="str">
        <f t="shared" si="10"/>
        <v>.</v>
      </c>
      <c r="X356" t="s">
        <v>86</v>
      </c>
      <c r="Y356" t="s">
        <v>86</v>
      </c>
      <c r="Z356" t="s">
        <v>86</v>
      </c>
    </row>
    <row r="357" spans="1:26" x14ac:dyDescent="0.2">
      <c r="A357" t="s">
        <v>922</v>
      </c>
      <c r="B357">
        <v>356</v>
      </c>
      <c r="C357">
        <v>1</v>
      </c>
      <c r="D357" s="3" t="s">
        <v>303</v>
      </c>
      <c r="F357" s="3" t="s">
        <v>1308</v>
      </c>
      <c r="H357" t="s">
        <v>618</v>
      </c>
      <c r="J357" t="s">
        <v>619</v>
      </c>
      <c r="Q357" t="s">
        <v>825</v>
      </c>
      <c r="R357">
        <v>80</v>
      </c>
      <c r="S357" t="s">
        <v>86</v>
      </c>
      <c r="T357" t="str">
        <f t="shared" si="11"/>
        <v>80mg</v>
      </c>
      <c r="U357" t="s">
        <v>86</v>
      </c>
      <c r="V357" t="s">
        <v>86</v>
      </c>
      <c r="W357" t="str">
        <f t="shared" si="10"/>
        <v>.</v>
      </c>
      <c r="X357" t="s">
        <v>86</v>
      </c>
      <c r="Y357" t="s">
        <v>86</v>
      </c>
      <c r="Z357" t="s">
        <v>86</v>
      </c>
    </row>
    <row r="358" spans="1:26" x14ac:dyDescent="0.2">
      <c r="A358" t="s">
        <v>922</v>
      </c>
      <c r="B358">
        <v>357</v>
      </c>
      <c r="C358">
        <v>1</v>
      </c>
      <c r="D358" s="3" t="s">
        <v>303</v>
      </c>
      <c r="F358" s="3" t="s">
        <v>1309</v>
      </c>
      <c r="H358" t="s">
        <v>618</v>
      </c>
      <c r="J358" t="s">
        <v>619</v>
      </c>
      <c r="Q358" t="s">
        <v>1310</v>
      </c>
      <c r="R358">
        <v>20</v>
      </c>
      <c r="S358" t="s">
        <v>86</v>
      </c>
      <c r="T358" t="str">
        <f t="shared" si="11"/>
        <v>20mg</v>
      </c>
      <c r="U358" t="s">
        <v>86</v>
      </c>
      <c r="V358" t="s">
        <v>86</v>
      </c>
      <c r="W358" t="str">
        <f t="shared" si="10"/>
        <v>.</v>
      </c>
      <c r="X358" t="s">
        <v>86</v>
      </c>
      <c r="Y358" t="s">
        <v>86</v>
      </c>
      <c r="Z358" t="s">
        <v>86</v>
      </c>
    </row>
    <row r="359" spans="1:26" x14ac:dyDescent="0.2">
      <c r="A359" t="s">
        <v>922</v>
      </c>
      <c r="B359">
        <v>358</v>
      </c>
      <c r="C359">
        <v>1</v>
      </c>
      <c r="D359" s="3" t="s">
        <v>303</v>
      </c>
      <c r="F359" s="3" t="s">
        <v>1309</v>
      </c>
      <c r="H359" t="s">
        <v>618</v>
      </c>
      <c r="J359" t="s">
        <v>619</v>
      </c>
      <c r="Q359" t="s">
        <v>1310</v>
      </c>
      <c r="R359">
        <v>20</v>
      </c>
      <c r="S359" t="s">
        <v>86</v>
      </c>
      <c r="T359" t="str">
        <f t="shared" si="11"/>
        <v>20mg</v>
      </c>
      <c r="U359" t="s">
        <v>86</v>
      </c>
      <c r="V359" t="s">
        <v>86</v>
      </c>
      <c r="W359" t="str">
        <f t="shared" si="10"/>
        <v>.</v>
      </c>
      <c r="X359" t="s">
        <v>86</v>
      </c>
      <c r="Y359" t="s">
        <v>86</v>
      </c>
      <c r="Z359" t="s">
        <v>86</v>
      </c>
    </row>
    <row r="360" spans="1:26" x14ac:dyDescent="0.2">
      <c r="A360" t="s">
        <v>922</v>
      </c>
      <c r="B360">
        <v>359</v>
      </c>
      <c r="C360">
        <v>1</v>
      </c>
      <c r="D360" s="3" t="s">
        <v>303</v>
      </c>
      <c r="F360" s="3" t="s">
        <v>1309</v>
      </c>
      <c r="H360" t="s">
        <v>618</v>
      </c>
      <c r="J360" t="s">
        <v>619</v>
      </c>
      <c r="Q360" t="s">
        <v>1311</v>
      </c>
      <c r="R360">
        <v>20</v>
      </c>
      <c r="S360" t="s">
        <v>86</v>
      </c>
      <c r="T360" t="str">
        <f t="shared" si="11"/>
        <v>20mg</v>
      </c>
      <c r="U360" t="s">
        <v>86</v>
      </c>
      <c r="V360" t="s">
        <v>86</v>
      </c>
      <c r="W360" t="str">
        <f t="shared" si="10"/>
        <v>.</v>
      </c>
      <c r="X360" t="s">
        <v>86</v>
      </c>
      <c r="Y360" t="s">
        <v>86</v>
      </c>
      <c r="Z360" t="s">
        <v>86</v>
      </c>
    </row>
    <row r="361" spans="1:26" x14ac:dyDescent="0.2">
      <c r="A361" t="s">
        <v>922</v>
      </c>
      <c r="B361">
        <v>360</v>
      </c>
      <c r="C361">
        <v>1</v>
      </c>
      <c r="D361" s="3" t="s">
        <v>303</v>
      </c>
      <c r="F361" s="3" t="s">
        <v>1309</v>
      </c>
      <c r="H361" t="s">
        <v>618</v>
      </c>
      <c r="J361" t="s">
        <v>619</v>
      </c>
      <c r="Q361" t="s">
        <v>1310</v>
      </c>
      <c r="R361">
        <v>20</v>
      </c>
      <c r="S361" t="s">
        <v>86</v>
      </c>
      <c r="T361" t="str">
        <f t="shared" si="11"/>
        <v>20mg</v>
      </c>
      <c r="U361" t="s">
        <v>86</v>
      </c>
      <c r="V361" t="s">
        <v>86</v>
      </c>
      <c r="W361" t="str">
        <f t="shared" si="10"/>
        <v>.</v>
      </c>
      <c r="X361" t="s">
        <v>86</v>
      </c>
      <c r="Y361" t="s">
        <v>86</v>
      </c>
      <c r="Z361" t="s">
        <v>86</v>
      </c>
    </row>
    <row r="362" spans="1:26" x14ac:dyDescent="0.2">
      <c r="A362" t="s">
        <v>922</v>
      </c>
      <c r="B362">
        <v>361</v>
      </c>
      <c r="C362">
        <v>1</v>
      </c>
      <c r="D362" s="3" t="s">
        <v>303</v>
      </c>
      <c r="F362" s="3" t="s">
        <v>1312</v>
      </c>
      <c r="H362" t="s">
        <v>618</v>
      </c>
      <c r="J362" t="s">
        <v>619</v>
      </c>
      <c r="Q362" t="s">
        <v>1311</v>
      </c>
      <c r="R362">
        <v>80</v>
      </c>
      <c r="S362" t="s">
        <v>86</v>
      </c>
      <c r="T362" t="str">
        <f t="shared" si="11"/>
        <v>80mg</v>
      </c>
      <c r="U362" t="s">
        <v>86</v>
      </c>
      <c r="V362" t="s">
        <v>86</v>
      </c>
      <c r="W362" t="str">
        <f t="shared" si="10"/>
        <v>.</v>
      </c>
      <c r="X362" t="s">
        <v>86</v>
      </c>
      <c r="Y362" t="s">
        <v>86</v>
      </c>
      <c r="Z362" t="s">
        <v>86</v>
      </c>
    </row>
    <row r="363" spans="1:26" x14ac:dyDescent="0.2">
      <c r="A363" t="s">
        <v>922</v>
      </c>
      <c r="B363">
        <v>362</v>
      </c>
      <c r="C363">
        <v>1</v>
      </c>
      <c r="D363" s="3" t="s">
        <v>303</v>
      </c>
      <c r="F363" s="3" t="s">
        <v>1120</v>
      </c>
      <c r="H363" t="s">
        <v>744</v>
      </c>
      <c r="J363" t="s">
        <v>745</v>
      </c>
      <c r="Q363" t="s">
        <v>1259</v>
      </c>
      <c r="R363">
        <v>500</v>
      </c>
      <c r="S363" t="s">
        <v>86</v>
      </c>
      <c r="T363" t="str">
        <f t="shared" si="11"/>
        <v>500mg</v>
      </c>
      <c r="U363" t="s">
        <v>86</v>
      </c>
      <c r="V363" t="s">
        <v>86</v>
      </c>
      <c r="W363" t="str">
        <f t="shared" si="10"/>
        <v>.</v>
      </c>
      <c r="X363" t="s">
        <v>86</v>
      </c>
      <c r="Y363" t="s">
        <v>86</v>
      </c>
      <c r="Z363" t="s">
        <v>86</v>
      </c>
    </row>
    <row r="364" spans="1:26" x14ac:dyDescent="0.2">
      <c r="A364" t="s">
        <v>922</v>
      </c>
      <c r="B364">
        <v>363</v>
      </c>
      <c r="C364">
        <v>1</v>
      </c>
      <c r="D364" s="3" t="s">
        <v>303</v>
      </c>
      <c r="F364" s="3" t="s">
        <v>1313</v>
      </c>
      <c r="H364" t="s">
        <v>618</v>
      </c>
      <c r="J364" t="s">
        <v>619</v>
      </c>
      <c r="Q364" t="s">
        <v>1314</v>
      </c>
      <c r="R364">
        <v>20</v>
      </c>
      <c r="S364" t="s">
        <v>86</v>
      </c>
      <c r="T364" t="str">
        <f t="shared" si="11"/>
        <v>20mg</v>
      </c>
      <c r="U364" t="s">
        <v>86</v>
      </c>
      <c r="V364" t="s">
        <v>86</v>
      </c>
      <c r="W364" t="str">
        <f t="shared" si="10"/>
        <v>.</v>
      </c>
      <c r="X364" t="s">
        <v>86</v>
      </c>
      <c r="Y364" t="s">
        <v>86</v>
      </c>
      <c r="Z364" t="s">
        <v>86</v>
      </c>
    </row>
    <row r="365" spans="1:26" x14ac:dyDescent="0.2">
      <c r="A365" t="s">
        <v>922</v>
      </c>
      <c r="B365">
        <v>364</v>
      </c>
      <c r="C365" t="e">
        <v>#N/A</v>
      </c>
      <c r="D365" s="5" t="s">
        <v>961</v>
      </c>
      <c r="F365" s="3" t="s">
        <v>1315</v>
      </c>
      <c r="H365" t="s">
        <v>618</v>
      </c>
      <c r="J365" t="s">
        <v>619</v>
      </c>
      <c r="Q365" t="s">
        <v>825</v>
      </c>
      <c r="R365">
        <v>80</v>
      </c>
      <c r="S365" t="s">
        <v>86</v>
      </c>
      <c r="T365" t="str">
        <f t="shared" si="11"/>
        <v>80mg</v>
      </c>
      <c r="U365" t="s">
        <v>86</v>
      </c>
      <c r="V365" t="s">
        <v>86</v>
      </c>
      <c r="W365" t="str">
        <f t="shared" si="10"/>
        <v>.</v>
      </c>
      <c r="X365" t="s">
        <v>86</v>
      </c>
      <c r="Y365" t="s">
        <v>86</v>
      </c>
      <c r="Z365" t="s">
        <v>86</v>
      </c>
    </row>
    <row r="366" spans="1:26" x14ac:dyDescent="0.2">
      <c r="A366" t="s">
        <v>922</v>
      </c>
      <c r="B366">
        <v>365</v>
      </c>
      <c r="C366" t="e">
        <v>#N/A</v>
      </c>
      <c r="D366" s="3" t="s">
        <v>522</v>
      </c>
      <c r="F366" s="3" t="s">
        <v>1316</v>
      </c>
      <c r="H366" t="s">
        <v>618</v>
      </c>
      <c r="J366" t="s">
        <v>619</v>
      </c>
      <c r="Q366" t="s">
        <v>958</v>
      </c>
      <c r="R366">
        <v>20</v>
      </c>
      <c r="S366" t="s">
        <v>86</v>
      </c>
      <c r="T366" t="str">
        <f t="shared" si="11"/>
        <v>20mg</v>
      </c>
      <c r="U366" t="s">
        <v>86</v>
      </c>
      <c r="V366" t="s">
        <v>86</v>
      </c>
      <c r="W366" t="str">
        <f t="shared" si="10"/>
        <v>.</v>
      </c>
      <c r="X366" t="s">
        <v>86</v>
      </c>
      <c r="Y366" t="s">
        <v>86</v>
      </c>
      <c r="Z366" t="s">
        <v>86</v>
      </c>
    </row>
    <row r="367" spans="1:26" x14ac:dyDescent="0.2">
      <c r="A367" t="s">
        <v>922</v>
      </c>
      <c r="B367">
        <v>366</v>
      </c>
      <c r="C367">
        <v>1</v>
      </c>
      <c r="D367" s="3" t="s">
        <v>303</v>
      </c>
      <c r="F367" s="3" t="s">
        <v>826</v>
      </c>
      <c r="H367" t="s">
        <v>618</v>
      </c>
      <c r="J367" t="s">
        <v>619</v>
      </c>
      <c r="Q367" t="s">
        <v>958</v>
      </c>
      <c r="R367">
        <v>80</v>
      </c>
      <c r="S367" t="s">
        <v>86</v>
      </c>
      <c r="T367" t="str">
        <f t="shared" si="11"/>
        <v>80mg</v>
      </c>
      <c r="U367" t="s">
        <v>86</v>
      </c>
      <c r="V367" t="s">
        <v>86</v>
      </c>
      <c r="W367" t="str">
        <f t="shared" si="10"/>
        <v>.</v>
      </c>
      <c r="X367" t="s">
        <v>86</v>
      </c>
      <c r="Y367" t="s">
        <v>86</v>
      </c>
      <c r="Z367" t="s">
        <v>86</v>
      </c>
    </row>
    <row r="368" spans="1:26" x14ac:dyDescent="0.2">
      <c r="A368" t="s">
        <v>922</v>
      </c>
      <c r="B368">
        <v>367</v>
      </c>
      <c r="C368" t="e">
        <v>#N/A</v>
      </c>
      <c r="D368" s="5" t="s">
        <v>961</v>
      </c>
      <c r="F368" s="3" t="s">
        <v>1317</v>
      </c>
      <c r="H368" t="s">
        <v>305</v>
      </c>
      <c r="Q368" t="s">
        <v>1318</v>
      </c>
      <c r="R368">
        <v>60</v>
      </c>
      <c r="S368" t="s">
        <v>86</v>
      </c>
      <c r="T368" t="str">
        <f t="shared" si="11"/>
        <v>60mg</v>
      </c>
      <c r="U368" t="s">
        <v>86</v>
      </c>
      <c r="V368" t="s">
        <v>86</v>
      </c>
      <c r="W368" t="str">
        <f t="shared" si="10"/>
        <v>.</v>
      </c>
      <c r="X368" t="s">
        <v>86</v>
      </c>
      <c r="Y368" t="s">
        <v>86</v>
      </c>
      <c r="Z368" t="s">
        <v>86</v>
      </c>
    </row>
    <row r="369" spans="1:26" x14ac:dyDescent="0.2">
      <c r="A369" t="s">
        <v>922</v>
      </c>
      <c r="B369">
        <v>368</v>
      </c>
      <c r="C369">
        <v>1</v>
      </c>
      <c r="D369" s="3" t="s">
        <v>303</v>
      </c>
      <c r="F369" s="3" t="s">
        <v>1319</v>
      </c>
      <c r="H369" t="s">
        <v>618</v>
      </c>
      <c r="J369" t="s">
        <v>619</v>
      </c>
      <c r="Q369" t="s">
        <v>1320</v>
      </c>
      <c r="R369">
        <v>80</v>
      </c>
      <c r="S369" t="s">
        <v>86</v>
      </c>
      <c r="T369" t="str">
        <f t="shared" si="11"/>
        <v>80mg</v>
      </c>
      <c r="U369" t="s">
        <v>86</v>
      </c>
      <c r="V369" t="s">
        <v>86</v>
      </c>
      <c r="W369" t="str">
        <f t="shared" si="10"/>
        <v>.</v>
      </c>
      <c r="X369" t="s">
        <v>86</v>
      </c>
      <c r="Y369" t="s">
        <v>86</v>
      </c>
      <c r="Z369" t="s">
        <v>86</v>
      </c>
    </row>
    <row r="370" spans="1:26" x14ac:dyDescent="0.2">
      <c r="A370" t="s">
        <v>922</v>
      </c>
      <c r="B370">
        <v>369</v>
      </c>
      <c r="C370" t="e">
        <v>#N/A</v>
      </c>
      <c r="D370" s="3" t="s">
        <v>1321</v>
      </c>
      <c r="F370" s="3" t="s">
        <v>1322</v>
      </c>
      <c r="H370" t="s">
        <v>744</v>
      </c>
      <c r="J370" t="s">
        <v>745</v>
      </c>
      <c r="Q370" t="s">
        <v>984</v>
      </c>
      <c r="R370">
        <v>500</v>
      </c>
      <c r="S370" t="s">
        <v>86</v>
      </c>
      <c r="T370" t="str">
        <f t="shared" si="11"/>
        <v>500mg</v>
      </c>
      <c r="U370" t="s">
        <v>86</v>
      </c>
      <c r="V370" t="s">
        <v>86</v>
      </c>
      <c r="W370" t="str">
        <f t="shared" si="10"/>
        <v>.</v>
      </c>
      <c r="X370" t="s">
        <v>86</v>
      </c>
      <c r="Y370" t="s">
        <v>86</v>
      </c>
      <c r="Z370" t="s">
        <v>86</v>
      </c>
    </row>
    <row r="371" spans="1:26" x14ac:dyDescent="0.2">
      <c r="A371" t="s">
        <v>922</v>
      </c>
      <c r="B371">
        <v>370</v>
      </c>
      <c r="C371" t="e">
        <v>#N/A</v>
      </c>
      <c r="D371" s="5" t="s">
        <v>961</v>
      </c>
      <c r="F371" s="3" t="s">
        <v>1323</v>
      </c>
      <c r="H371" t="s">
        <v>305</v>
      </c>
      <c r="Q371" t="s">
        <v>1324</v>
      </c>
      <c r="R371">
        <v>120</v>
      </c>
      <c r="S371" t="s">
        <v>86</v>
      </c>
      <c r="T371" t="str">
        <f t="shared" si="11"/>
        <v>120mg</v>
      </c>
      <c r="U371" t="s">
        <v>86</v>
      </c>
      <c r="V371" t="s">
        <v>86</v>
      </c>
      <c r="W371" t="str">
        <f t="shared" si="10"/>
        <v>.</v>
      </c>
      <c r="X371" t="s">
        <v>86</v>
      </c>
      <c r="Y371" t="s">
        <v>86</v>
      </c>
      <c r="Z371" t="s">
        <v>86</v>
      </c>
    </row>
    <row r="372" spans="1:26" x14ac:dyDescent="0.2">
      <c r="A372" t="s">
        <v>922</v>
      </c>
      <c r="B372">
        <v>371</v>
      </c>
      <c r="C372" t="e">
        <v>#N/A</v>
      </c>
      <c r="D372" s="5" t="s">
        <v>961</v>
      </c>
      <c r="F372" s="3" t="s">
        <v>1323</v>
      </c>
      <c r="H372" t="s">
        <v>305</v>
      </c>
      <c r="Q372" t="s">
        <v>1324</v>
      </c>
      <c r="R372">
        <v>30</v>
      </c>
      <c r="S372" t="s">
        <v>86</v>
      </c>
      <c r="T372" t="str">
        <f t="shared" si="11"/>
        <v>30mg</v>
      </c>
      <c r="U372" t="s">
        <v>86</v>
      </c>
      <c r="V372" t="s">
        <v>86</v>
      </c>
      <c r="W372" t="str">
        <f t="shared" si="10"/>
        <v>.</v>
      </c>
      <c r="X372" t="s">
        <v>86</v>
      </c>
      <c r="Y372" t="s">
        <v>86</v>
      </c>
      <c r="Z372" t="s">
        <v>86</v>
      </c>
    </row>
    <row r="373" spans="1:26" x14ac:dyDescent="0.2">
      <c r="A373" t="s">
        <v>922</v>
      </c>
      <c r="B373">
        <v>372</v>
      </c>
      <c r="C373" t="e">
        <v>#N/A</v>
      </c>
      <c r="D373" s="5" t="s">
        <v>961</v>
      </c>
      <c r="F373" s="3" t="s">
        <v>1323</v>
      </c>
      <c r="H373" t="s">
        <v>305</v>
      </c>
      <c r="Q373" t="s">
        <v>1324</v>
      </c>
      <c r="R373">
        <v>60</v>
      </c>
      <c r="S373" t="s">
        <v>86</v>
      </c>
      <c r="T373" t="str">
        <f t="shared" si="11"/>
        <v>60mg</v>
      </c>
      <c r="U373" t="s">
        <v>86</v>
      </c>
      <c r="V373" t="s">
        <v>86</v>
      </c>
      <c r="W373" t="str">
        <f t="shared" si="10"/>
        <v>.</v>
      </c>
      <c r="X373" t="s">
        <v>86</v>
      </c>
      <c r="Y373" t="s">
        <v>86</v>
      </c>
      <c r="Z373" t="s">
        <v>86</v>
      </c>
    </row>
    <row r="374" spans="1:26" x14ac:dyDescent="0.2">
      <c r="A374" t="s">
        <v>922</v>
      </c>
      <c r="B374">
        <v>373</v>
      </c>
      <c r="C374" t="e">
        <v>#N/A</v>
      </c>
      <c r="D374" s="3" t="s">
        <v>522</v>
      </c>
      <c r="F374" s="3" t="s">
        <v>1325</v>
      </c>
      <c r="H374" t="s">
        <v>618</v>
      </c>
      <c r="J374" t="s">
        <v>619</v>
      </c>
      <c r="Q374" t="s">
        <v>1324</v>
      </c>
      <c r="R374">
        <v>20</v>
      </c>
      <c r="S374" t="s">
        <v>86</v>
      </c>
      <c r="T374" t="str">
        <f t="shared" si="11"/>
        <v>20mg</v>
      </c>
      <c r="U374" t="s">
        <v>86</v>
      </c>
      <c r="V374" t="s">
        <v>86</v>
      </c>
      <c r="W374" t="str">
        <f t="shared" si="10"/>
        <v>.</v>
      </c>
      <c r="X374" t="s">
        <v>86</v>
      </c>
      <c r="Y374" t="s">
        <v>86</v>
      </c>
      <c r="Z374" t="s">
        <v>86</v>
      </c>
    </row>
    <row r="375" spans="1:26" x14ac:dyDescent="0.2">
      <c r="A375" t="s">
        <v>922</v>
      </c>
      <c r="B375">
        <v>374</v>
      </c>
      <c r="C375" t="e">
        <v>#N/A</v>
      </c>
      <c r="D375" s="3" t="s">
        <v>522</v>
      </c>
      <c r="F375" s="3" t="s">
        <v>1326</v>
      </c>
      <c r="H375" t="s">
        <v>618</v>
      </c>
      <c r="J375" t="s">
        <v>619</v>
      </c>
      <c r="Q375" t="s">
        <v>1324</v>
      </c>
      <c r="R375">
        <v>40</v>
      </c>
      <c r="S375" t="s">
        <v>86</v>
      </c>
      <c r="T375" t="str">
        <f t="shared" si="11"/>
        <v>40mg</v>
      </c>
      <c r="U375" t="s">
        <v>86</v>
      </c>
      <c r="V375" t="s">
        <v>86</v>
      </c>
      <c r="W375" t="str">
        <f t="shared" si="10"/>
        <v>.</v>
      </c>
      <c r="X375" t="s">
        <v>86</v>
      </c>
      <c r="Y375" t="s">
        <v>86</v>
      </c>
      <c r="Z375" t="s">
        <v>86</v>
      </c>
    </row>
    <row r="376" spans="1:26" x14ac:dyDescent="0.2">
      <c r="A376" t="s">
        <v>922</v>
      </c>
      <c r="B376">
        <v>375</v>
      </c>
      <c r="C376">
        <v>1</v>
      </c>
      <c r="D376" s="3" t="s">
        <v>303</v>
      </c>
      <c r="F376" s="3" t="s">
        <v>1327</v>
      </c>
      <c r="H376" t="s">
        <v>618</v>
      </c>
      <c r="J376" t="s">
        <v>619</v>
      </c>
      <c r="Q376" t="s">
        <v>984</v>
      </c>
      <c r="R376">
        <v>20</v>
      </c>
      <c r="S376" t="s">
        <v>86</v>
      </c>
      <c r="T376" t="str">
        <f t="shared" si="11"/>
        <v>20mg</v>
      </c>
      <c r="U376" t="s">
        <v>86</v>
      </c>
      <c r="V376" t="s">
        <v>86</v>
      </c>
      <c r="W376" t="str">
        <f t="shared" si="10"/>
        <v>.</v>
      </c>
      <c r="X376" t="s">
        <v>86</v>
      </c>
      <c r="Y376" t="s">
        <v>86</v>
      </c>
      <c r="Z376" t="s">
        <v>86</v>
      </c>
    </row>
    <row r="377" spans="1:26" x14ac:dyDescent="0.2">
      <c r="A377" t="s">
        <v>922</v>
      </c>
      <c r="B377">
        <v>376</v>
      </c>
      <c r="C377">
        <v>1</v>
      </c>
      <c r="D377" s="3" t="s">
        <v>303</v>
      </c>
      <c r="F377" s="3" t="s">
        <v>1327</v>
      </c>
      <c r="H377" t="s">
        <v>618</v>
      </c>
      <c r="J377" t="s">
        <v>619</v>
      </c>
      <c r="Q377" t="s">
        <v>984</v>
      </c>
      <c r="R377">
        <v>80</v>
      </c>
      <c r="S377" t="s">
        <v>86</v>
      </c>
      <c r="T377" t="str">
        <f t="shared" si="11"/>
        <v>80mg</v>
      </c>
      <c r="U377" t="s">
        <v>86</v>
      </c>
      <c r="V377" t="s">
        <v>86</v>
      </c>
      <c r="W377" t="str">
        <f t="shared" si="10"/>
        <v>.</v>
      </c>
      <c r="X377" t="s">
        <v>86</v>
      </c>
      <c r="Y377" t="s">
        <v>86</v>
      </c>
      <c r="Z377" t="s">
        <v>86</v>
      </c>
    </row>
    <row r="378" spans="1:26" x14ac:dyDescent="0.2">
      <c r="A378" t="s">
        <v>922</v>
      </c>
      <c r="B378">
        <v>377</v>
      </c>
      <c r="C378">
        <v>1</v>
      </c>
      <c r="D378" s="3" t="s">
        <v>303</v>
      </c>
      <c r="F378" s="3" t="s">
        <v>959</v>
      </c>
      <c r="H378" t="s">
        <v>618</v>
      </c>
      <c r="J378" t="s">
        <v>619</v>
      </c>
      <c r="Q378" t="s">
        <v>960</v>
      </c>
      <c r="R378">
        <v>20</v>
      </c>
      <c r="S378" t="s">
        <v>86</v>
      </c>
      <c r="T378" t="str">
        <f t="shared" si="11"/>
        <v>20mg</v>
      </c>
      <c r="U378" t="s">
        <v>86</v>
      </c>
      <c r="V378" t="s">
        <v>86</v>
      </c>
      <c r="W378" t="str">
        <f t="shared" si="10"/>
        <v>.</v>
      </c>
      <c r="X378" t="s">
        <v>86</v>
      </c>
      <c r="Y378" t="s">
        <v>86</v>
      </c>
      <c r="Z378" t="s">
        <v>86</v>
      </c>
    </row>
    <row r="379" spans="1:26" x14ac:dyDescent="0.2">
      <c r="A379" t="s">
        <v>922</v>
      </c>
      <c r="B379">
        <v>378</v>
      </c>
      <c r="C379">
        <v>1</v>
      </c>
      <c r="D379" s="3" t="s">
        <v>303</v>
      </c>
      <c r="F379" s="3" t="s">
        <v>1328</v>
      </c>
      <c r="H379" t="s">
        <v>618</v>
      </c>
      <c r="J379" t="s">
        <v>619</v>
      </c>
      <c r="Q379" t="s">
        <v>960</v>
      </c>
      <c r="R379">
        <v>80</v>
      </c>
      <c r="S379" t="s">
        <v>86</v>
      </c>
      <c r="T379" t="str">
        <f t="shared" si="11"/>
        <v>80mg</v>
      </c>
      <c r="U379" t="s">
        <v>86</v>
      </c>
      <c r="V379" t="s">
        <v>86</v>
      </c>
      <c r="W379" t="str">
        <f t="shared" si="10"/>
        <v>.</v>
      </c>
      <c r="X379" t="s">
        <v>86</v>
      </c>
      <c r="Y379" t="s">
        <v>86</v>
      </c>
      <c r="Z379" t="s">
        <v>86</v>
      </c>
    </row>
    <row r="380" spans="1:26" x14ac:dyDescent="0.2">
      <c r="A380" t="s">
        <v>922</v>
      </c>
      <c r="B380">
        <v>379</v>
      </c>
      <c r="C380">
        <v>1</v>
      </c>
      <c r="D380" s="3" t="s">
        <v>303</v>
      </c>
      <c r="F380" s="3" t="s">
        <v>1329</v>
      </c>
      <c r="H380" t="s">
        <v>618</v>
      </c>
      <c r="J380" t="s">
        <v>619</v>
      </c>
      <c r="Q380" t="s">
        <v>1330</v>
      </c>
      <c r="R380">
        <v>40</v>
      </c>
      <c r="S380" t="s">
        <v>86</v>
      </c>
      <c r="T380" t="str">
        <f t="shared" si="11"/>
        <v>40mg</v>
      </c>
      <c r="U380" t="s">
        <v>86</v>
      </c>
      <c r="V380" t="s">
        <v>86</v>
      </c>
      <c r="W380" t="str">
        <f t="shared" si="10"/>
        <v>.</v>
      </c>
      <c r="X380" t="s">
        <v>86</v>
      </c>
      <c r="Y380" t="s">
        <v>86</v>
      </c>
      <c r="Z380" t="s">
        <v>86</v>
      </c>
    </row>
    <row r="381" spans="1:26" x14ac:dyDescent="0.2">
      <c r="A381" t="s">
        <v>922</v>
      </c>
      <c r="B381">
        <v>380</v>
      </c>
      <c r="C381" t="e">
        <v>#N/A</v>
      </c>
      <c r="D381" s="3" t="s">
        <v>1321</v>
      </c>
      <c r="F381" s="3" t="s">
        <v>1331</v>
      </c>
      <c r="H381" t="s">
        <v>618</v>
      </c>
      <c r="J381" t="s">
        <v>619</v>
      </c>
      <c r="Q381" t="s">
        <v>1330</v>
      </c>
      <c r="R381">
        <v>80</v>
      </c>
      <c r="S381" t="s">
        <v>86</v>
      </c>
      <c r="T381" t="str">
        <f t="shared" si="11"/>
        <v>80mg</v>
      </c>
      <c r="U381" t="s">
        <v>86</v>
      </c>
      <c r="V381" t="s">
        <v>86</v>
      </c>
      <c r="W381" t="str">
        <f t="shared" si="10"/>
        <v>.</v>
      </c>
      <c r="X381" t="s">
        <v>86</v>
      </c>
      <c r="Y381" t="s">
        <v>86</v>
      </c>
      <c r="Z381" t="s">
        <v>86</v>
      </c>
    </row>
    <row r="382" spans="1:26" x14ac:dyDescent="0.2">
      <c r="A382" t="s">
        <v>922</v>
      </c>
      <c r="B382">
        <v>381</v>
      </c>
      <c r="C382">
        <v>1</v>
      </c>
      <c r="D382" s="3" t="s">
        <v>303</v>
      </c>
      <c r="F382" s="3" t="s">
        <v>1148</v>
      </c>
      <c r="H382" t="s">
        <v>744</v>
      </c>
      <c r="J382" t="s">
        <v>745</v>
      </c>
      <c r="Q382" t="s">
        <v>963</v>
      </c>
      <c r="R382">
        <v>500</v>
      </c>
      <c r="S382" t="s">
        <v>86</v>
      </c>
      <c r="T382" t="str">
        <f t="shared" si="11"/>
        <v>500mg</v>
      </c>
      <c r="U382" t="s">
        <v>86</v>
      </c>
      <c r="V382" t="s">
        <v>86</v>
      </c>
      <c r="W382" t="str">
        <f t="shared" si="10"/>
        <v>.</v>
      </c>
      <c r="X382" t="s">
        <v>86</v>
      </c>
      <c r="Y382" t="s">
        <v>86</v>
      </c>
      <c r="Z382" t="s">
        <v>86</v>
      </c>
    </row>
    <row r="383" spans="1:26" x14ac:dyDescent="0.2">
      <c r="A383" t="s">
        <v>922</v>
      </c>
      <c r="B383">
        <v>382</v>
      </c>
      <c r="C383">
        <v>1</v>
      </c>
      <c r="D383" s="3" t="s">
        <v>303</v>
      </c>
      <c r="F383" s="3" t="s">
        <v>1332</v>
      </c>
      <c r="H383" t="s">
        <v>618</v>
      </c>
      <c r="J383" t="s">
        <v>619</v>
      </c>
      <c r="Q383" t="s">
        <v>963</v>
      </c>
      <c r="R383">
        <v>20</v>
      </c>
      <c r="S383" t="s">
        <v>86</v>
      </c>
      <c r="T383" t="str">
        <f t="shared" si="11"/>
        <v>20mg</v>
      </c>
      <c r="U383" t="s">
        <v>86</v>
      </c>
      <c r="V383" t="s">
        <v>86</v>
      </c>
      <c r="W383" t="str">
        <f t="shared" si="10"/>
        <v>.</v>
      </c>
      <c r="X383" t="s">
        <v>86</v>
      </c>
      <c r="Y383" t="s">
        <v>86</v>
      </c>
      <c r="Z383" t="s">
        <v>86</v>
      </c>
    </row>
    <row r="384" spans="1:26" x14ac:dyDescent="0.2">
      <c r="A384" t="s">
        <v>922</v>
      </c>
      <c r="B384">
        <v>383</v>
      </c>
      <c r="C384">
        <v>1</v>
      </c>
      <c r="D384" s="3" t="s">
        <v>303</v>
      </c>
      <c r="F384" s="3" t="s">
        <v>1332</v>
      </c>
      <c r="H384" t="s">
        <v>618</v>
      </c>
      <c r="J384" t="s">
        <v>619</v>
      </c>
      <c r="Q384" t="s">
        <v>963</v>
      </c>
      <c r="R384">
        <v>40</v>
      </c>
      <c r="S384" t="s">
        <v>86</v>
      </c>
      <c r="T384" t="str">
        <f t="shared" si="11"/>
        <v>40mg</v>
      </c>
      <c r="U384" t="s">
        <v>86</v>
      </c>
      <c r="V384" t="s">
        <v>86</v>
      </c>
      <c r="W384" t="str">
        <f t="shared" ref="W384:W447" si="12">IF(U384=".",".",IF(V384=".",_xlfn.CONCAT(U384,"mg"),_xlfn.CONCAT(U384,"mg/ ",V384,"ml")))</f>
        <v>.</v>
      </c>
      <c r="X384" t="s">
        <v>86</v>
      </c>
      <c r="Y384" t="s">
        <v>86</v>
      </c>
      <c r="Z384" t="s">
        <v>86</v>
      </c>
    </row>
    <row r="385" spans="1:26" x14ac:dyDescent="0.2">
      <c r="A385" t="s">
        <v>922</v>
      </c>
      <c r="B385">
        <v>384</v>
      </c>
      <c r="C385">
        <v>1</v>
      </c>
      <c r="D385" s="3" t="s">
        <v>303</v>
      </c>
      <c r="F385" s="3" t="s">
        <v>1332</v>
      </c>
      <c r="H385" t="s">
        <v>618</v>
      </c>
      <c r="J385" t="s">
        <v>619</v>
      </c>
      <c r="Q385" t="s">
        <v>963</v>
      </c>
      <c r="R385">
        <v>80</v>
      </c>
      <c r="S385" t="s">
        <v>86</v>
      </c>
      <c r="T385" t="str">
        <f t="shared" si="11"/>
        <v>80mg</v>
      </c>
      <c r="U385" t="s">
        <v>86</v>
      </c>
      <c r="V385" t="s">
        <v>86</v>
      </c>
      <c r="W385" t="str">
        <f t="shared" si="12"/>
        <v>.</v>
      </c>
      <c r="X385" t="s">
        <v>86</v>
      </c>
      <c r="Y385" t="s">
        <v>86</v>
      </c>
      <c r="Z385" t="s">
        <v>86</v>
      </c>
    </row>
    <row r="386" spans="1:26" x14ac:dyDescent="0.2">
      <c r="A386" t="s">
        <v>922</v>
      </c>
      <c r="B386">
        <v>385</v>
      </c>
      <c r="C386">
        <v>1</v>
      </c>
      <c r="D386" s="3" t="s">
        <v>303</v>
      </c>
      <c r="F386" s="3" t="s">
        <v>1333</v>
      </c>
      <c r="H386" t="s">
        <v>618</v>
      </c>
      <c r="J386" t="s">
        <v>619</v>
      </c>
      <c r="Q386" t="s">
        <v>966</v>
      </c>
      <c r="R386">
        <v>40</v>
      </c>
      <c r="S386" t="s">
        <v>86</v>
      </c>
      <c r="T386" t="str">
        <f t="shared" si="11"/>
        <v>40mg</v>
      </c>
      <c r="U386" t="s">
        <v>86</v>
      </c>
      <c r="V386" t="s">
        <v>86</v>
      </c>
      <c r="W386" t="str">
        <f t="shared" si="12"/>
        <v>.</v>
      </c>
      <c r="X386" t="s">
        <v>86</v>
      </c>
      <c r="Y386" t="s">
        <v>86</v>
      </c>
      <c r="Z386" t="s">
        <v>86</v>
      </c>
    </row>
    <row r="387" spans="1:26" x14ac:dyDescent="0.2">
      <c r="A387" t="s">
        <v>922</v>
      </c>
      <c r="B387">
        <v>386</v>
      </c>
      <c r="C387">
        <v>1</v>
      </c>
      <c r="D387" s="3" t="s">
        <v>303</v>
      </c>
      <c r="F387" s="3" t="s">
        <v>1334</v>
      </c>
      <c r="H387" t="s">
        <v>618</v>
      </c>
      <c r="J387" t="s">
        <v>619</v>
      </c>
      <c r="Q387" t="s">
        <v>966</v>
      </c>
      <c r="R387">
        <v>80</v>
      </c>
      <c r="S387" t="s">
        <v>86</v>
      </c>
      <c r="T387" t="str">
        <f t="shared" ref="T387:T449" si="13">IF(S387=".",_xlfn.CONCAT(R387,"mg"),_xlfn.CONCAT(R387,"mg/ ",S387,"ml"))</f>
        <v>80mg</v>
      </c>
      <c r="U387" t="s">
        <v>86</v>
      </c>
      <c r="V387" t="s">
        <v>86</v>
      </c>
      <c r="W387" t="str">
        <f t="shared" si="12"/>
        <v>.</v>
      </c>
      <c r="X387" t="s">
        <v>86</v>
      </c>
      <c r="Y387" t="s">
        <v>86</v>
      </c>
      <c r="Z387" t="s">
        <v>86</v>
      </c>
    </row>
    <row r="388" spans="1:26" x14ac:dyDescent="0.2">
      <c r="A388" t="s">
        <v>922</v>
      </c>
      <c r="B388">
        <v>387</v>
      </c>
      <c r="C388">
        <v>1</v>
      </c>
      <c r="D388" s="3" t="s">
        <v>303</v>
      </c>
      <c r="F388" s="3" t="s">
        <v>837</v>
      </c>
      <c r="H388" t="s">
        <v>618</v>
      </c>
      <c r="J388" t="s">
        <v>619</v>
      </c>
      <c r="Q388" t="s">
        <v>967</v>
      </c>
      <c r="R388">
        <v>40</v>
      </c>
      <c r="S388" t="s">
        <v>86</v>
      </c>
      <c r="T388" t="str">
        <f t="shared" si="13"/>
        <v>40mg</v>
      </c>
      <c r="U388" t="s">
        <v>86</v>
      </c>
      <c r="V388" t="s">
        <v>86</v>
      </c>
      <c r="W388" t="str">
        <f t="shared" si="12"/>
        <v>.</v>
      </c>
      <c r="X388" t="s">
        <v>86</v>
      </c>
      <c r="Y388" t="s">
        <v>86</v>
      </c>
      <c r="Z388" t="s">
        <v>86</v>
      </c>
    </row>
    <row r="389" spans="1:26" x14ac:dyDescent="0.2">
      <c r="A389" t="s">
        <v>922</v>
      </c>
      <c r="B389">
        <v>388</v>
      </c>
      <c r="C389">
        <v>1</v>
      </c>
      <c r="D389" s="3" t="s">
        <v>303</v>
      </c>
      <c r="F389" s="3" t="s">
        <v>1335</v>
      </c>
      <c r="H389" t="s">
        <v>618</v>
      </c>
      <c r="J389" t="s">
        <v>619</v>
      </c>
      <c r="Q389" t="s">
        <v>825</v>
      </c>
      <c r="R389">
        <v>20</v>
      </c>
      <c r="S389" t="s">
        <v>86</v>
      </c>
      <c r="T389" t="str">
        <f t="shared" si="13"/>
        <v>20mg</v>
      </c>
      <c r="U389" t="s">
        <v>86</v>
      </c>
      <c r="V389" t="s">
        <v>86</v>
      </c>
      <c r="W389" t="str">
        <f t="shared" si="12"/>
        <v>.</v>
      </c>
      <c r="X389" t="s">
        <v>86</v>
      </c>
      <c r="Y389" t="s">
        <v>86</v>
      </c>
      <c r="Z389" t="s">
        <v>86</v>
      </c>
    </row>
    <row r="390" spans="1:26" x14ac:dyDescent="0.2">
      <c r="A390" t="s">
        <v>922</v>
      </c>
      <c r="B390">
        <v>389</v>
      </c>
      <c r="C390" t="e">
        <v>#N/A</v>
      </c>
      <c r="D390" s="3" t="s">
        <v>522</v>
      </c>
      <c r="F390" s="3" t="s">
        <v>1336</v>
      </c>
      <c r="H390" t="s">
        <v>618</v>
      </c>
      <c r="J390" t="s">
        <v>619</v>
      </c>
      <c r="Q390" t="s">
        <v>1337</v>
      </c>
      <c r="R390">
        <v>20</v>
      </c>
      <c r="S390" t="s">
        <v>86</v>
      </c>
      <c r="T390" t="str">
        <f t="shared" si="13"/>
        <v>20mg</v>
      </c>
      <c r="U390" t="s">
        <v>86</v>
      </c>
      <c r="V390" t="s">
        <v>86</v>
      </c>
      <c r="W390" t="str">
        <f t="shared" si="12"/>
        <v>.</v>
      </c>
      <c r="X390" t="s">
        <v>86</v>
      </c>
      <c r="Y390" t="s">
        <v>86</v>
      </c>
      <c r="Z390" t="s">
        <v>86</v>
      </c>
    </row>
    <row r="391" spans="1:26" x14ac:dyDescent="0.2">
      <c r="A391" t="s">
        <v>922</v>
      </c>
      <c r="B391">
        <v>390</v>
      </c>
      <c r="C391">
        <v>1</v>
      </c>
      <c r="D391" s="3" t="s">
        <v>303</v>
      </c>
      <c r="F391" s="3" t="s">
        <v>1338</v>
      </c>
      <c r="H391" t="s">
        <v>618</v>
      </c>
      <c r="J391" t="s">
        <v>619</v>
      </c>
      <c r="Q391" t="s">
        <v>1339</v>
      </c>
      <c r="R391">
        <v>40</v>
      </c>
      <c r="S391" t="s">
        <v>86</v>
      </c>
      <c r="T391" t="str">
        <f t="shared" si="13"/>
        <v>40mg</v>
      </c>
      <c r="U391" t="s">
        <v>86</v>
      </c>
      <c r="V391" t="s">
        <v>86</v>
      </c>
      <c r="W391" t="str">
        <f t="shared" si="12"/>
        <v>.</v>
      </c>
      <c r="X391" t="s">
        <v>86</v>
      </c>
      <c r="Y391" t="s">
        <v>86</v>
      </c>
      <c r="Z391" t="s">
        <v>86</v>
      </c>
    </row>
    <row r="392" spans="1:26" x14ac:dyDescent="0.2">
      <c r="A392" t="s">
        <v>922</v>
      </c>
      <c r="B392">
        <v>391</v>
      </c>
      <c r="C392">
        <v>1</v>
      </c>
      <c r="D392" s="3" t="s">
        <v>303</v>
      </c>
      <c r="F392" s="3" t="s">
        <v>1340</v>
      </c>
      <c r="H392" t="s">
        <v>618</v>
      </c>
      <c r="J392" t="s">
        <v>619</v>
      </c>
      <c r="Q392" t="s">
        <v>1341</v>
      </c>
      <c r="R392">
        <v>80</v>
      </c>
      <c r="S392" t="s">
        <v>86</v>
      </c>
      <c r="T392" t="str">
        <f t="shared" si="13"/>
        <v>80mg</v>
      </c>
      <c r="U392" t="s">
        <v>86</v>
      </c>
      <c r="V392" t="s">
        <v>86</v>
      </c>
      <c r="W392" t="str">
        <f t="shared" si="12"/>
        <v>.</v>
      </c>
      <c r="X392" t="s">
        <v>86</v>
      </c>
      <c r="Y392" t="s">
        <v>86</v>
      </c>
      <c r="Z392" t="s">
        <v>86</v>
      </c>
    </row>
    <row r="393" spans="1:26" x14ac:dyDescent="0.2">
      <c r="A393" t="s">
        <v>922</v>
      </c>
      <c r="B393">
        <v>392</v>
      </c>
      <c r="C393">
        <v>1</v>
      </c>
      <c r="D393" s="3" t="s">
        <v>303</v>
      </c>
      <c r="F393" s="3" t="s">
        <v>1342</v>
      </c>
      <c r="H393" t="s">
        <v>618</v>
      </c>
      <c r="J393" t="s">
        <v>619</v>
      </c>
      <c r="Q393" t="s">
        <v>1165</v>
      </c>
      <c r="R393">
        <v>80</v>
      </c>
      <c r="S393" t="s">
        <v>86</v>
      </c>
      <c r="T393" t="str">
        <f t="shared" si="13"/>
        <v>80mg</v>
      </c>
      <c r="U393" t="s">
        <v>86</v>
      </c>
      <c r="V393" t="s">
        <v>86</v>
      </c>
      <c r="W393" t="str">
        <f t="shared" si="12"/>
        <v>.</v>
      </c>
      <c r="X393" t="s">
        <v>86</v>
      </c>
      <c r="Y393" t="s">
        <v>86</v>
      </c>
      <c r="Z393" t="s">
        <v>86</v>
      </c>
    </row>
    <row r="394" spans="1:26" x14ac:dyDescent="0.2">
      <c r="A394" t="s">
        <v>922</v>
      </c>
      <c r="B394">
        <v>393</v>
      </c>
      <c r="C394" t="e">
        <v>#N/A</v>
      </c>
      <c r="D394" s="3" t="s">
        <v>1321</v>
      </c>
      <c r="F394" s="3" t="s">
        <v>1343</v>
      </c>
      <c r="H394" t="s">
        <v>618</v>
      </c>
      <c r="J394" t="s">
        <v>619</v>
      </c>
      <c r="Q394" t="s">
        <v>1344</v>
      </c>
      <c r="R394">
        <v>40</v>
      </c>
      <c r="S394" t="s">
        <v>86</v>
      </c>
      <c r="T394" t="str">
        <f t="shared" si="13"/>
        <v>40mg</v>
      </c>
      <c r="U394" t="s">
        <v>86</v>
      </c>
      <c r="V394" t="s">
        <v>86</v>
      </c>
      <c r="W394" t="str">
        <f t="shared" si="12"/>
        <v>.</v>
      </c>
      <c r="X394" t="s">
        <v>86</v>
      </c>
      <c r="Y394" t="s">
        <v>86</v>
      </c>
      <c r="Z394" t="s">
        <v>86</v>
      </c>
    </row>
    <row r="395" spans="1:26" x14ac:dyDescent="0.2">
      <c r="A395" t="s">
        <v>922</v>
      </c>
      <c r="B395">
        <v>394</v>
      </c>
      <c r="C395">
        <v>1</v>
      </c>
      <c r="D395" s="3" t="s">
        <v>303</v>
      </c>
      <c r="F395" s="3" t="s">
        <v>1345</v>
      </c>
      <c r="H395" t="s">
        <v>618</v>
      </c>
      <c r="J395" t="s">
        <v>619</v>
      </c>
      <c r="Q395" t="s">
        <v>1344</v>
      </c>
      <c r="R395">
        <v>80</v>
      </c>
      <c r="S395" t="s">
        <v>86</v>
      </c>
      <c r="T395" t="str">
        <f t="shared" si="13"/>
        <v>80mg</v>
      </c>
      <c r="U395" t="s">
        <v>86</v>
      </c>
      <c r="V395" t="s">
        <v>86</v>
      </c>
      <c r="W395" t="str">
        <f t="shared" si="12"/>
        <v>.</v>
      </c>
      <c r="X395" t="s">
        <v>86</v>
      </c>
      <c r="Y395" t="s">
        <v>86</v>
      </c>
      <c r="Z395" t="s">
        <v>86</v>
      </c>
    </row>
    <row r="396" spans="1:26" x14ac:dyDescent="0.2">
      <c r="A396" t="s">
        <v>922</v>
      </c>
      <c r="B396">
        <v>395</v>
      </c>
      <c r="C396">
        <v>1</v>
      </c>
      <c r="D396" s="3" t="s">
        <v>303</v>
      </c>
      <c r="F396" s="3" t="s">
        <v>1346</v>
      </c>
      <c r="H396" t="s">
        <v>618</v>
      </c>
      <c r="J396" t="s">
        <v>619</v>
      </c>
      <c r="Q396" t="s">
        <v>1284</v>
      </c>
      <c r="R396">
        <v>20</v>
      </c>
      <c r="S396" t="s">
        <v>86</v>
      </c>
      <c r="T396" t="str">
        <f t="shared" si="13"/>
        <v>20mg</v>
      </c>
      <c r="U396" t="s">
        <v>86</v>
      </c>
      <c r="V396" t="s">
        <v>86</v>
      </c>
      <c r="W396" t="str">
        <f t="shared" si="12"/>
        <v>.</v>
      </c>
      <c r="X396" t="s">
        <v>86</v>
      </c>
      <c r="Y396" t="s">
        <v>86</v>
      </c>
      <c r="Z396" t="s">
        <v>86</v>
      </c>
    </row>
    <row r="397" spans="1:26" x14ac:dyDescent="0.2">
      <c r="A397" t="s">
        <v>922</v>
      </c>
      <c r="B397">
        <v>396</v>
      </c>
      <c r="C397">
        <v>1</v>
      </c>
      <c r="D397" s="3" t="s">
        <v>303</v>
      </c>
      <c r="F397" s="3" t="s">
        <v>1346</v>
      </c>
      <c r="H397" t="s">
        <v>618</v>
      </c>
      <c r="J397" t="s">
        <v>619</v>
      </c>
      <c r="Q397" t="s">
        <v>1284</v>
      </c>
      <c r="R397">
        <v>40</v>
      </c>
      <c r="S397" t="s">
        <v>86</v>
      </c>
      <c r="T397" t="str">
        <f t="shared" si="13"/>
        <v>40mg</v>
      </c>
      <c r="U397" t="s">
        <v>86</v>
      </c>
      <c r="V397" t="s">
        <v>86</v>
      </c>
      <c r="W397" t="str">
        <f t="shared" si="12"/>
        <v>.</v>
      </c>
      <c r="X397" t="s">
        <v>86</v>
      </c>
      <c r="Y397" t="s">
        <v>86</v>
      </c>
      <c r="Z397" t="s">
        <v>86</v>
      </c>
    </row>
    <row r="398" spans="1:26" x14ac:dyDescent="0.2">
      <c r="A398" t="s">
        <v>922</v>
      </c>
      <c r="B398">
        <v>397</v>
      </c>
      <c r="C398">
        <v>1</v>
      </c>
      <c r="D398" s="3" t="s">
        <v>303</v>
      </c>
      <c r="F398" s="3" t="s">
        <v>1346</v>
      </c>
      <c r="H398" t="s">
        <v>618</v>
      </c>
      <c r="J398" t="s">
        <v>619</v>
      </c>
      <c r="Q398" t="s">
        <v>1284</v>
      </c>
      <c r="R398">
        <v>80</v>
      </c>
      <c r="S398" t="s">
        <v>86</v>
      </c>
      <c r="T398" t="str">
        <f t="shared" si="13"/>
        <v>80mg</v>
      </c>
      <c r="U398" t="s">
        <v>86</v>
      </c>
      <c r="V398" t="s">
        <v>86</v>
      </c>
      <c r="W398" t="str">
        <f t="shared" si="12"/>
        <v>.</v>
      </c>
      <c r="X398" t="s">
        <v>86</v>
      </c>
      <c r="Y398" t="s">
        <v>86</v>
      </c>
      <c r="Z398" t="s">
        <v>86</v>
      </c>
    </row>
    <row r="399" spans="1:26" x14ac:dyDescent="0.2">
      <c r="A399" t="s">
        <v>922</v>
      </c>
      <c r="B399">
        <v>398</v>
      </c>
      <c r="C399">
        <v>1</v>
      </c>
      <c r="D399" s="3" t="s">
        <v>303</v>
      </c>
      <c r="F399" s="3" t="s">
        <v>1347</v>
      </c>
      <c r="H399" t="s">
        <v>618</v>
      </c>
      <c r="J399" t="s">
        <v>619</v>
      </c>
      <c r="Q399" t="s">
        <v>963</v>
      </c>
      <c r="R399">
        <v>20</v>
      </c>
      <c r="S399" t="s">
        <v>86</v>
      </c>
      <c r="T399" t="str">
        <f t="shared" si="13"/>
        <v>20mg</v>
      </c>
      <c r="U399" t="s">
        <v>86</v>
      </c>
      <c r="V399" t="s">
        <v>86</v>
      </c>
      <c r="W399" t="str">
        <f t="shared" si="12"/>
        <v>.</v>
      </c>
      <c r="X399" t="s">
        <v>86</v>
      </c>
      <c r="Y399" t="s">
        <v>86</v>
      </c>
      <c r="Z399" t="s">
        <v>86</v>
      </c>
    </row>
    <row r="400" spans="1:26" x14ac:dyDescent="0.2">
      <c r="A400" t="s">
        <v>922</v>
      </c>
      <c r="B400">
        <v>399</v>
      </c>
      <c r="C400">
        <v>1</v>
      </c>
      <c r="D400" s="3" t="s">
        <v>303</v>
      </c>
      <c r="F400" s="3" t="s">
        <v>1347</v>
      </c>
      <c r="H400" t="s">
        <v>618</v>
      </c>
      <c r="J400" t="s">
        <v>619</v>
      </c>
      <c r="Q400" t="s">
        <v>963</v>
      </c>
      <c r="R400">
        <v>20</v>
      </c>
      <c r="S400" t="s">
        <v>86</v>
      </c>
      <c r="T400" t="str">
        <f t="shared" si="13"/>
        <v>20mg</v>
      </c>
      <c r="U400" t="s">
        <v>86</v>
      </c>
      <c r="V400" t="s">
        <v>86</v>
      </c>
      <c r="W400" t="str">
        <f t="shared" si="12"/>
        <v>.</v>
      </c>
      <c r="X400" t="s">
        <v>86</v>
      </c>
      <c r="Y400" t="s">
        <v>86</v>
      </c>
      <c r="Z400" t="s">
        <v>86</v>
      </c>
    </row>
    <row r="401" spans="1:26" x14ac:dyDescent="0.2">
      <c r="A401" t="s">
        <v>922</v>
      </c>
      <c r="B401">
        <v>400</v>
      </c>
      <c r="C401">
        <v>1</v>
      </c>
      <c r="D401" s="3" t="s">
        <v>303</v>
      </c>
      <c r="F401" s="3" t="s">
        <v>1348</v>
      </c>
      <c r="H401" t="s">
        <v>618</v>
      </c>
      <c r="J401" t="s">
        <v>619</v>
      </c>
      <c r="Q401" t="s">
        <v>1349</v>
      </c>
      <c r="R401">
        <v>20</v>
      </c>
      <c r="S401" t="s">
        <v>86</v>
      </c>
      <c r="T401" t="str">
        <f t="shared" si="13"/>
        <v>20mg</v>
      </c>
      <c r="U401" t="s">
        <v>86</v>
      </c>
      <c r="V401" t="s">
        <v>86</v>
      </c>
      <c r="W401" t="str">
        <f t="shared" si="12"/>
        <v>.</v>
      </c>
      <c r="X401" t="s">
        <v>86</v>
      </c>
      <c r="Y401" t="s">
        <v>86</v>
      </c>
      <c r="Z401" t="s">
        <v>86</v>
      </c>
    </row>
    <row r="402" spans="1:26" x14ac:dyDescent="0.2">
      <c r="A402" t="s">
        <v>922</v>
      </c>
      <c r="B402">
        <v>401</v>
      </c>
      <c r="C402">
        <v>1</v>
      </c>
      <c r="D402" s="3" t="s">
        <v>303</v>
      </c>
      <c r="F402" s="3" t="s">
        <v>1348</v>
      </c>
      <c r="H402" t="s">
        <v>618</v>
      </c>
      <c r="J402" t="s">
        <v>619</v>
      </c>
      <c r="Q402" t="s">
        <v>1349</v>
      </c>
      <c r="R402">
        <v>20</v>
      </c>
      <c r="S402" t="s">
        <v>86</v>
      </c>
      <c r="T402" t="str">
        <f t="shared" si="13"/>
        <v>20mg</v>
      </c>
      <c r="U402" t="s">
        <v>86</v>
      </c>
      <c r="V402" t="s">
        <v>86</v>
      </c>
      <c r="W402" t="str">
        <f t="shared" si="12"/>
        <v>.</v>
      </c>
      <c r="X402" t="s">
        <v>86</v>
      </c>
      <c r="Y402" t="s">
        <v>86</v>
      </c>
      <c r="Z402" t="s">
        <v>86</v>
      </c>
    </row>
    <row r="403" spans="1:26" x14ac:dyDescent="0.2">
      <c r="A403" t="s">
        <v>922</v>
      </c>
      <c r="B403">
        <v>402</v>
      </c>
      <c r="C403">
        <v>1</v>
      </c>
      <c r="D403" s="3" t="s">
        <v>303</v>
      </c>
      <c r="F403" s="3" t="s">
        <v>1348</v>
      </c>
      <c r="H403" t="s">
        <v>618</v>
      </c>
      <c r="J403" t="s">
        <v>619</v>
      </c>
      <c r="Q403" t="s">
        <v>1349</v>
      </c>
      <c r="R403">
        <v>20</v>
      </c>
      <c r="S403" t="s">
        <v>86</v>
      </c>
      <c r="T403" t="str">
        <f t="shared" si="13"/>
        <v>20mg</v>
      </c>
      <c r="U403" t="s">
        <v>86</v>
      </c>
      <c r="V403" t="s">
        <v>86</v>
      </c>
      <c r="W403" t="str">
        <f t="shared" si="12"/>
        <v>.</v>
      </c>
      <c r="X403" t="s">
        <v>86</v>
      </c>
      <c r="Y403" t="s">
        <v>86</v>
      </c>
      <c r="Z403" t="s">
        <v>86</v>
      </c>
    </row>
    <row r="404" spans="1:26" x14ac:dyDescent="0.2">
      <c r="A404" t="s">
        <v>922</v>
      </c>
      <c r="B404">
        <v>403</v>
      </c>
      <c r="C404">
        <v>1</v>
      </c>
      <c r="D404" s="3" t="s">
        <v>303</v>
      </c>
      <c r="F404" s="3" t="s">
        <v>1348</v>
      </c>
      <c r="H404" t="s">
        <v>618</v>
      </c>
      <c r="J404" t="s">
        <v>619</v>
      </c>
      <c r="Q404" t="s">
        <v>1349</v>
      </c>
      <c r="R404">
        <v>20</v>
      </c>
      <c r="S404" t="s">
        <v>86</v>
      </c>
      <c r="T404" t="str">
        <f t="shared" si="13"/>
        <v>20mg</v>
      </c>
      <c r="U404" t="s">
        <v>86</v>
      </c>
      <c r="V404" t="s">
        <v>86</v>
      </c>
      <c r="W404" t="str">
        <f t="shared" si="12"/>
        <v>.</v>
      </c>
      <c r="X404" t="s">
        <v>86</v>
      </c>
      <c r="Y404" t="s">
        <v>86</v>
      </c>
      <c r="Z404" t="s">
        <v>86</v>
      </c>
    </row>
    <row r="405" spans="1:26" x14ac:dyDescent="0.2">
      <c r="A405" t="s">
        <v>922</v>
      </c>
      <c r="B405">
        <v>404</v>
      </c>
      <c r="C405">
        <v>1</v>
      </c>
      <c r="D405" s="3" t="s">
        <v>303</v>
      </c>
      <c r="F405" s="3" t="s">
        <v>1350</v>
      </c>
      <c r="H405" t="s">
        <v>618</v>
      </c>
      <c r="J405" t="s">
        <v>619</v>
      </c>
      <c r="Q405" t="s">
        <v>1255</v>
      </c>
      <c r="R405">
        <v>80</v>
      </c>
      <c r="S405" t="s">
        <v>86</v>
      </c>
      <c r="T405" t="str">
        <f t="shared" si="13"/>
        <v>80mg</v>
      </c>
      <c r="U405" t="s">
        <v>86</v>
      </c>
      <c r="V405" t="s">
        <v>86</v>
      </c>
      <c r="W405" t="str">
        <f t="shared" si="12"/>
        <v>.</v>
      </c>
      <c r="X405" t="s">
        <v>86</v>
      </c>
      <c r="Y405" t="s">
        <v>86</v>
      </c>
      <c r="Z405" t="s">
        <v>86</v>
      </c>
    </row>
    <row r="406" spans="1:26" x14ac:dyDescent="0.2">
      <c r="A406" t="s">
        <v>922</v>
      </c>
      <c r="B406">
        <v>405</v>
      </c>
      <c r="C406" t="e">
        <v>#N/A</v>
      </c>
      <c r="D406" s="3" t="s">
        <v>522</v>
      </c>
      <c r="F406" s="3" t="s">
        <v>1351</v>
      </c>
      <c r="H406" t="s">
        <v>618</v>
      </c>
      <c r="J406" t="s">
        <v>619</v>
      </c>
      <c r="Q406" t="s">
        <v>1255</v>
      </c>
      <c r="R406">
        <v>20</v>
      </c>
      <c r="S406" t="s">
        <v>86</v>
      </c>
      <c r="T406" t="str">
        <f t="shared" si="13"/>
        <v>20mg</v>
      </c>
      <c r="U406" t="s">
        <v>86</v>
      </c>
      <c r="V406" t="s">
        <v>86</v>
      </c>
      <c r="W406" t="str">
        <f t="shared" si="12"/>
        <v>.</v>
      </c>
      <c r="X406" t="s">
        <v>86</v>
      </c>
      <c r="Y406" t="s">
        <v>86</v>
      </c>
      <c r="Z406" t="s">
        <v>86</v>
      </c>
    </row>
    <row r="407" spans="1:26" x14ac:dyDescent="0.2">
      <c r="A407" t="s">
        <v>922</v>
      </c>
      <c r="B407">
        <v>406</v>
      </c>
      <c r="C407">
        <v>1</v>
      </c>
      <c r="D407" s="3" t="s">
        <v>303</v>
      </c>
      <c r="F407" s="3" t="s">
        <v>969</v>
      </c>
      <c r="H407" t="s">
        <v>618</v>
      </c>
      <c r="J407" t="s">
        <v>619</v>
      </c>
      <c r="Q407" t="s">
        <v>1352</v>
      </c>
      <c r="R407">
        <v>20</v>
      </c>
      <c r="S407" t="s">
        <v>86</v>
      </c>
      <c r="T407" t="str">
        <f t="shared" si="13"/>
        <v>20mg</v>
      </c>
      <c r="U407" t="s">
        <v>86</v>
      </c>
      <c r="V407" t="s">
        <v>86</v>
      </c>
      <c r="W407" t="str">
        <f t="shared" si="12"/>
        <v>.</v>
      </c>
      <c r="X407" t="s">
        <v>86</v>
      </c>
      <c r="Y407" t="s">
        <v>86</v>
      </c>
      <c r="Z407" t="s">
        <v>86</v>
      </c>
    </row>
    <row r="408" spans="1:26" x14ac:dyDescent="0.2">
      <c r="A408" t="s">
        <v>922</v>
      </c>
      <c r="B408">
        <v>407</v>
      </c>
      <c r="C408">
        <v>1</v>
      </c>
      <c r="D408" s="3" t="s">
        <v>303</v>
      </c>
      <c r="F408" s="3" t="s">
        <v>969</v>
      </c>
      <c r="H408" t="s">
        <v>618</v>
      </c>
      <c r="J408" t="s">
        <v>619</v>
      </c>
      <c r="Q408" t="s">
        <v>1353</v>
      </c>
      <c r="R408">
        <v>20</v>
      </c>
      <c r="S408" t="s">
        <v>86</v>
      </c>
      <c r="T408" t="str">
        <f t="shared" si="13"/>
        <v>20mg</v>
      </c>
      <c r="U408" t="s">
        <v>86</v>
      </c>
      <c r="V408" t="s">
        <v>86</v>
      </c>
      <c r="W408" t="str">
        <f t="shared" si="12"/>
        <v>.</v>
      </c>
      <c r="X408" t="s">
        <v>86</v>
      </c>
      <c r="Y408" t="s">
        <v>86</v>
      </c>
      <c r="Z408" t="s">
        <v>86</v>
      </c>
    </row>
    <row r="409" spans="1:26" x14ac:dyDescent="0.2">
      <c r="A409" t="s">
        <v>922</v>
      </c>
      <c r="B409">
        <v>408</v>
      </c>
      <c r="C409">
        <v>1</v>
      </c>
      <c r="D409" s="3" t="s">
        <v>303</v>
      </c>
      <c r="F409" s="3" t="s">
        <v>1354</v>
      </c>
      <c r="H409" t="s">
        <v>618</v>
      </c>
      <c r="J409" t="s">
        <v>619</v>
      </c>
      <c r="Q409" t="s">
        <v>1352</v>
      </c>
      <c r="R409">
        <v>80</v>
      </c>
      <c r="S409" t="s">
        <v>86</v>
      </c>
      <c r="T409" t="str">
        <f t="shared" si="13"/>
        <v>80mg</v>
      </c>
      <c r="U409" t="s">
        <v>86</v>
      </c>
      <c r="V409" t="s">
        <v>86</v>
      </c>
      <c r="W409" t="str">
        <f t="shared" si="12"/>
        <v>.</v>
      </c>
      <c r="X409" t="s">
        <v>86</v>
      </c>
      <c r="Y409" t="s">
        <v>86</v>
      </c>
      <c r="Z409" t="s">
        <v>86</v>
      </c>
    </row>
    <row r="410" spans="1:26" x14ac:dyDescent="0.2">
      <c r="A410" t="s">
        <v>922</v>
      </c>
      <c r="B410">
        <v>409</v>
      </c>
      <c r="C410" t="e">
        <v>#N/A</v>
      </c>
      <c r="D410" s="3" t="s">
        <v>522</v>
      </c>
      <c r="F410" s="3" t="s">
        <v>1355</v>
      </c>
      <c r="H410" t="s">
        <v>618</v>
      </c>
      <c r="J410" t="s">
        <v>619</v>
      </c>
      <c r="Q410" t="s">
        <v>1352</v>
      </c>
      <c r="R410">
        <v>20</v>
      </c>
      <c r="S410" t="s">
        <v>86</v>
      </c>
      <c r="T410" t="str">
        <f t="shared" si="13"/>
        <v>20mg</v>
      </c>
      <c r="U410" t="s">
        <v>86</v>
      </c>
      <c r="V410" t="s">
        <v>86</v>
      </c>
      <c r="W410" t="str">
        <f t="shared" si="12"/>
        <v>.</v>
      </c>
      <c r="X410" t="s">
        <v>86</v>
      </c>
      <c r="Y410" t="s">
        <v>86</v>
      </c>
      <c r="Z410" t="s">
        <v>86</v>
      </c>
    </row>
    <row r="411" spans="1:26" x14ac:dyDescent="0.2">
      <c r="A411" t="s">
        <v>922</v>
      </c>
      <c r="B411">
        <v>410</v>
      </c>
      <c r="C411">
        <v>1</v>
      </c>
      <c r="D411" s="3" t="s">
        <v>303</v>
      </c>
      <c r="F411" s="3" t="s">
        <v>1356</v>
      </c>
      <c r="H411" t="s">
        <v>618</v>
      </c>
      <c r="J411" t="s">
        <v>619</v>
      </c>
      <c r="Q411" t="s">
        <v>1357</v>
      </c>
      <c r="R411">
        <v>80</v>
      </c>
      <c r="S411" t="s">
        <v>86</v>
      </c>
      <c r="T411" t="str">
        <f t="shared" si="13"/>
        <v>80mg</v>
      </c>
      <c r="U411" t="s">
        <v>86</v>
      </c>
      <c r="V411" t="s">
        <v>86</v>
      </c>
      <c r="W411" t="str">
        <f t="shared" si="12"/>
        <v>.</v>
      </c>
      <c r="X411" t="s">
        <v>86</v>
      </c>
      <c r="Y411" t="s">
        <v>86</v>
      </c>
      <c r="Z411" t="s">
        <v>86</v>
      </c>
    </row>
    <row r="412" spans="1:26" x14ac:dyDescent="0.2">
      <c r="A412" t="s">
        <v>922</v>
      </c>
      <c r="B412">
        <v>411</v>
      </c>
      <c r="C412">
        <v>2</v>
      </c>
      <c r="D412" s="3" t="s">
        <v>1017</v>
      </c>
      <c r="F412" s="3" t="s">
        <v>1358</v>
      </c>
      <c r="H412" t="s">
        <v>305</v>
      </c>
      <c r="Q412" t="s">
        <v>825</v>
      </c>
      <c r="R412">
        <v>50</v>
      </c>
      <c r="S412" t="s">
        <v>86</v>
      </c>
      <c r="T412" t="str">
        <f t="shared" si="13"/>
        <v>50mg</v>
      </c>
      <c r="U412" t="s">
        <v>86</v>
      </c>
      <c r="V412" t="s">
        <v>86</v>
      </c>
      <c r="W412" t="str">
        <f t="shared" si="12"/>
        <v>.</v>
      </c>
      <c r="X412" t="s">
        <v>86</v>
      </c>
      <c r="Y412" t="s">
        <v>86</v>
      </c>
      <c r="Z412" t="s">
        <v>86</v>
      </c>
    </row>
    <row r="413" spans="1:26" x14ac:dyDescent="0.2">
      <c r="A413" t="s">
        <v>922</v>
      </c>
      <c r="B413">
        <v>412</v>
      </c>
      <c r="C413" t="e">
        <v>#N/A</v>
      </c>
      <c r="D413" s="5" t="s">
        <v>961</v>
      </c>
      <c r="F413" s="3" t="s">
        <v>1359</v>
      </c>
      <c r="H413" t="s">
        <v>305</v>
      </c>
      <c r="Q413" t="s">
        <v>825</v>
      </c>
      <c r="R413">
        <v>30</v>
      </c>
      <c r="S413" t="s">
        <v>86</v>
      </c>
      <c r="T413" t="str">
        <f t="shared" si="13"/>
        <v>30mg</v>
      </c>
      <c r="U413" t="s">
        <v>86</v>
      </c>
      <c r="V413" t="s">
        <v>86</v>
      </c>
      <c r="W413" t="str">
        <f t="shared" si="12"/>
        <v>.</v>
      </c>
      <c r="X413" t="s">
        <v>86</v>
      </c>
      <c r="Y413" t="s">
        <v>86</v>
      </c>
      <c r="Z413" t="s">
        <v>86</v>
      </c>
    </row>
    <row r="414" spans="1:26" x14ac:dyDescent="0.2">
      <c r="A414" t="s">
        <v>922</v>
      </c>
      <c r="B414">
        <v>413</v>
      </c>
      <c r="C414" t="e">
        <v>#N/A</v>
      </c>
      <c r="D414" s="3" t="s">
        <v>1360</v>
      </c>
      <c r="F414" s="3" t="s">
        <v>1196</v>
      </c>
      <c r="H414" t="s">
        <v>744</v>
      </c>
      <c r="J414" t="s">
        <v>745</v>
      </c>
      <c r="Q414" t="s">
        <v>1361</v>
      </c>
      <c r="R414">
        <v>500</v>
      </c>
      <c r="S414" t="s">
        <v>86</v>
      </c>
      <c r="T414" t="str">
        <f t="shared" si="13"/>
        <v>500mg</v>
      </c>
      <c r="U414" t="s">
        <v>86</v>
      </c>
      <c r="V414" t="s">
        <v>86</v>
      </c>
      <c r="W414" t="str">
        <f t="shared" si="12"/>
        <v>.</v>
      </c>
      <c r="X414" t="s">
        <v>86</v>
      </c>
      <c r="Y414" t="s">
        <v>86</v>
      </c>
      <c r="Z414" t="s">
        <v>86</v>
      </c>
    </row>
    <row r="415" spans="1:26" x14ac:dyDescent="0.2">
      <c r="A415" t="s">
        <v>922</v>
      </c>
      <c r="B415">
        <v>414</v>
      </c>
      <c r="C415">
        <v>1</v>
      </c>
      <c r="D415" s="3" t="s">
        <v>303</v>
      </c>
      <c r="F415" s="3" t="s">
        <v>1362</v>
      </c>
      <c r="H415" t="s">
        <v>618</v>
      </c>
      <c r="J415" t="s">
        <v>619</v>
      </c>
      <c r="Q415" t="s">
        <v>1363</v>
      </c>
      <c r="R415">
        <v>20</v>
      </c>
      <c r="S415" t="s">
        <v>86</v>
      </c>
      <c r="T415" t="str">
        <f t="shared" si="13"/>
        <v>20mg</v>
      </c>
      <c r="U415" t="s">
        <v>86</v>
      </c>
      <c r="V415" t="s">
        <v>86</v>
      </c>
      <c r="W415" t="str">
        <f t="shared" si="12"/>
        <v>.</v>
      </c>
      <c r="X415" t="s">
        <v>86</v>
      </c>
      <c r="Y415" t="s">
        <v>86</v>
      </c>
      <c r="Z415" t="s">
        <v>86</v>
      </c>
    </row>
    <row r="416" spans="1:26" x14ac:dyDescent="0.2">
      <c r="A416" t="s">
        <v>922</v>
      </c>
      <c r="B416">
        <v>415</v>
      </c>
      <c r="C416">
        <v>1</v>
      </c>
      <c r="D416" s="3" t="s">
        <v>303</v>
      </c>
      <c r="F416" s="3" t="s">
        <v>1364</v>
      </c>
      <c r="H416" t="s">
        <v>618</v>
      </c>
      <c r="J416" t="s">
        <v>619</v>
      </c>
      <c r="Q416" t="s">
        <v>1363</v>
      </c>
      <c r="R416">
        <v>80</v>
      </c>
      <c r="S416" t="s">
        <v>86</v>
      </c>
      <c r="T416" t="str">
        <f t="shared" si="13"/>
        <v>80mg</v>
      </c>
      <c r="U416" t="s">
        <v>86</v>
      </c>
      <c r="V416" t="s">
        <v>86</v>
      </c>
      <c r="W416" t="str">
        <f t="shared" si="12"/>
        <v>.</v>
      </c>
      <c r="X416" t="s">
        <v>86</v>
      </c>
      <c r="Y416" t="s">
        <v>86</v>
      </c>
      <c r="Z416" t="s">
        <v>86</v>
      </c>
    </row>
    <row r="417" spans="1:26" x14ac:dyDescent="0.2">
      <c r="A417" t="s">
        <v>922</v>
      </c>
      <c r="B417">
        <v>416</v>
      </c>
      <c r="C417">
        <v>1</v>
      </c>
      <c r="D417" s="3" t="s">
        <v>303</v>
      </c>
      <c r="F417" s="3" t="s">
        <v>1365</v>
      </c>
      <c r="H417" t="s">
        <v>618</v>
      </c>
      <c r="J417" t="s">
        <v>619</v>
      </c>
      <c r="Q417" t="s">
        <v>1366</v>
      </c>
      <c r="R417">
        <v>20</v>
      </c>
      <c r="S417" t="s">
        <v>86</v>
      </c>
      <c r="T417" t="str">
        <f t="shared" si="13"/>
        <v>20mg</v>
      </c>
      <c r="U417" t="s">
        <v>86</v>
      </c>
      <c r="V417" t="s">
        <v>86</v>
      </c>
      <c r="W417" t="str">
        <f t="shared" si="12"/>
        <v>.</v>
      </c>
      <c r="X417" t="s">
        <v>86</v>
      </c>
      <c r="Y417" t="s">
        <v>86</v>
      </c>
      <c r="Z417" t="s">
        <v>86</v>
      </c>
    </row>
    <row r="418" spans="1:26" x14ac:dyDescent="0.2">
      <c r="A418" t="s">
        <v>922</v>
      </c>
      <c r="B418">
        <v>417</v>
      </c>
      <c r="C418">
        <v>1</v>
      </c>
      <c r="D418" s="3" t="s">
        <v>303</v>
      </c>
      <c r="F418" s="3" t="s">
        <v>1367</v>
      </c>
      <c r="H418" t="s">
        <v>618</v>
      </c>
      <c r="J418" t="s">
        <v>619</v>
      </c>
      <c r="Q418" t="s">
        <v>1366</v>
      </c>
      <c r="R418">
        <v>40</v>
      </c>
      <c r="S418" t="s">
        <v>86</v>
      </c>
      <c r="T418" t="str">
        <f t="shared" si="13"/>
        <v>40mg</v>
      </c>
      <c r="U418" t="s">
        <v>86</v>
      </c>
      <c r="V418" t="s">
        <v>86</v>
      </c>
      <c r="W418" t="str">
        <f t="shared" si="12"/>
        <v>.</v>
      </c>
      <c r="X418" t="s">
        <v>86</v>
      </c>
      <c r="Y418" t="s">
        <v>86</v>
      </c>
      <c r="Z418" t="s">
        <v>86</v>
      </c>
    </row>
    <row r="419" spans="1:26" x14ac:dyDescent="0.2">
      <c r="A419" t="s">
        <v>922</v>
      </c>
      <c r="B419">
        <v>418</v>
      </c>
      <c r="C419" t="e">
        <v>#N/A</v>
      </c>
      <c r="D419" s="3" t="s">
        <v>1321</v>
      </c>
      <c r="F419" s="3" t="s">
        <v>1368</v>
      </c>
      <c r="H419" t="s">
        <v>1369</v>
      </c>
      <c r="J419" t="s">
        <v>1370</v>
      </c>
      <c r="Q419" t="s">
        <v>982</v>
      </c>
      <c r="R419">
        <v>20</v>
      </c>
      <c r="S419" t="s">
        <v>86</v>
      </c>
      <c r="T419" t="str">
        <f t="shared" si="13"/>
        <v>20mg</v>
      </c>
      <c r="U419" t="s">
        <v>86</v>
      </c>
      <c r="V419" t="s">
        <v>86</v>
      </c>
      <c r="W419" t="str">
        <f t="shared" si="12"/>
        <v>.</v>
      </c>
      <c r="X419" t="s">
        <v>86</v>
      </c>
      <c r="Y419" t="s">
        <v>86</v>
      </c>
      <c r="Z419" t="s">
        <v>86</v>
      </c>
    </row>
    <row r="420" spans="1:26" x14ac:dyDescent="0.2">
      <c r="A420" t="s">
        <v>922</v>
      </c>
      <c r="B420">
        <v>419</v>
      </c>
      <c r="C420">
        <v>1</v>
      </c>
      <c r="D420" s="3" t="s">
        <v>303</v>
      </c>
      <c r="F420" s="3" t="s">
        <v>1371</v>
      </c>
      <c r="H420" t="s">
        <v>1369</v>
      </c>
      <c r="J420" t="s">
        <v>1370</v>
      </c>
      <c r="Q420" t="s">
        <v>982</v>
      </c>
      <c r="R420">
        <v>40</v>
      </c>
      <c r="S420" t="s">
        <v>86</v>
      </c>
      <c r="T420" t="str">
        <f t="shared" si="13"/>
        <v>40mg</v>
      </c>
      <c r="U420" t="s">
        <v>86</v>
      </c>
      <c r="V420" t="s">
        <v>86</v>
      </c>
      <c r="W420" t="str">
        <f t="shared" si="12"/>
        <v>.</v>
      </c>
      <c r="X420" t="s">
        <v>86</v>
      </c>
      <c r="Y420" t="s">
        <v>86</v>
      </c>
      <c r="Z420" t="s">
        <v>86</v>
      </c>
    </row>
    <row r="421" spans="1:26" x14ac:dyDescent="0.2">
      <c r="A421" t="s">
        <v>922</v>
      </c>
      <c r="B421">
        <v>420</v>
      </c>
      <c r="C421" t="e">
        <v>#N/A</v>
      </c>
      <c r="D421" s="3" t="s">
        <v>522</v>
      </c>
      <c r="F421" s="3" t="s">
        <v>1372</v>
      </c>
      <c r="H421" t="s">
        <v>618</v>
      </c>
      <c r="J421" t="s">
        <v>619</v>
      </c>
      <c r="Q421" t="s">
        <v>1373</v>
      </c>
      <c r="R421">
        <v>20</v>
      </c>
      <c r="S421" t="s">
        <v>86</v>
      </c>
      <c r="T421" t="str">
        <f t="shared" si="13"/>
        <v>20mg</v>
      </c>
      <c r="U421" t="s">
        <v>86</v>
      </c>
      <c r="V421" t="s">
        <v>86</v>
      </c>
      <c r="W421" t="str">
        <f t="shared" si="12"/>
        <v>.</v>
      </c>
      <c r="X421" t="s">
        <v>86</v>
      </c>
      <c r="Y421" t="s">
        <v>86</v>
      </c>
      <c r="Z421" t="s">
        <v>86</v>
      </c>
    </row>
    <row r="422" spans="1:26" x14ac:dyDescent="0.2">
      <c r="A422" t="s">
        <v>922</v>
      </c>
      <c r="B422">
        <v>421</v>
      </c>
      <c r="C422" t="e">
        <v>#N/A</v>
      </c>
      <c r="D422" s="3" t="s">
        <v>522</v>
      </c>
      <c r="F422" s="3" t="s">
        <v>1374</v>
      </c>
      <c r="H422" t="s">
        <v>618</v>
      </c>
      <c r="J422" t="s">
        <v>619</v>
      </c>
      <c r="Q422" t="s">
        <v>1375</v>
      </c>
      <c r="R422">
        <v>20</v>
      </c>
      <c r="S422" t="s">
        <v>86</v>
      </c>
      <c r="T422" t="str">
        <f t="shared" si="13"/>
        <v>20mg</v>
      </c>
      <c r="U422" t="s">
        <v>86</v>
      </c>
      <c r="V422" t="s">
        <v>86</v>
      </c>
      <c r="W422" t="str">
        <f t="shared" si="12"/>
        <v>.</v>
      </c>
      <c r="X422" t="s">
        <v>86</v>
      </c>
      <c r="Y422" t="s">
        <v>86</v>
      </c>
      <c r="Z422" t="s">
        <v>86</v>
      </c>
    </row>
    <row r="423" spans="1:26" x14ac:dyDescent="0.2">
      <c r="A423" t="s">
        <v>922</v>
      </c>
      <c r="B423">
        <v>422</v>
      </c>
      <c r="C423">
        <v>1</v>
      </c>
      <c r="D423" s="3" t="s">
        <v>303</v>
      </c>
      <c r="F423" s="3" t="s">
        <v>1376</v>
      </c>
      <c r="H423" t="s">
        <v>618</v>
      </c>
      <c r="J423" t="s">
        <v>619</v>
      </c>
      <c r="Q423" t="s">
        <v>1375</v>
      </c>
      <c r="R423">
        <v>80</v>
      </c>
      <c r="S423" t="s">
        <v>86</v>
      </c>
      <c r="T423" t="str">
        <f t="shared" si="13"/>
        <v>80mg</v>
      </c>
      <c r="U423" t="s">
        <v>86</v>
      </c>
      <c r="V423" t="s">
        <v>86</v>
      </c>
      <c r="W423" t="str">
        <f t="shared" si="12"/>
        <v>.</v>
      </c>
      <c r="X423" t="s">
        <v>86</v>
      </c>
      <c r="Y423" t="s">
        <v>86</v>
      </c>
      <c r="Z423" t="s">
        <v>86</v>
      </c>
    </row>
    <row r="424" spans="1:26" x14ac:dyDescent="0.2">
      <c r="A424" t="s">
        <v>922</v>
      </c>
      <c r="B424">
        <v>423</v>
      </c>
      <c r="C424">
        <v>1</v>
      </c>
      <c r="D424" s="3" t="s">
        <v>303</v>
      </c>
      <c r="F424" s="3" t="s">
        <v>1377</v>
      </c>
      <c r="H424" t="s">
        <v>618</v>
      </c>
      <c r="J424" t="s">
        <v>619</v>
      </c>
      <c r="Q424" t="s">
        <v>1378</v>
      </c>
      <c r="R424">
        <v>20</v>
      </c>
      <c r="S424" t="s">
        <v>86</v>
      </c>
      <c r="T424" t="str">
        <f t="shared" si="13"/>
        <v>20mg</v>
      </c>
      <c r="U424" t="s">
        <v>86</v>
      </c>
      <c r="V424" t="s">
        <v>86</v>
      </c>
      <c r="W424" t="str">
        <f t="shared" si="12"/>
        <v>.</v>
      </c>
      <c r="X424" t="s">
        <v>86</v>
      </c>
      <c r="Y424" t="s">
        <v>86</v>
      </c>
      <c r="Z424" t="s">
        <v>86</v>
      </c>
    </row>
    <row r="425" spans="1:26" x14ac:dyDescent="0.2">
      <c r="A425" t="s">
        <v>922</v>
      </c>
      <c r="B425">
        <v>424</v>
      </c>
      <c r="C425">
        <v>1</v>
      </c>
      <c r="D425" s="3" t="s">
        <v>303</v>
      </c>
      <c r="F425" s="3" t="s">
        <v>1377</v>
      </c>
      <c r="H425" t="s">
        <v>618</v>
      </c>
      <c r="J425" t="s">
        <v>619</v>
      </c>
      <c r="Q425" t="s">
        <v>1378</v>
      </c>
      <c r="R425">
        <v>80</v>
      </c>
      <c r="S425" t="s">
        <v>86</v>
      </c>
      <c r="T425" t="str">
        <f t="shared" si="13"/>
        <v>80mg</v>
      </c>
      <c r="U425" t="s">
        <v>86</v>
      </c>
      <c r="V425" t="s">
        <v>86</v>
      </c>
      <c r="W425" t="str">
        <f t="shared" si="12"/>
        <v>.</v>
      </c>
      <c r="X425" t="s">
        <v>86</v>
      </c>
      <c r="Y425" t="s">
        <v>86</v>
      </c>
      <c r="Z425" t="s">
        <v>86</v>
      </c>
    </row>
    <row r="426" spans="1:26" x14ac:dyDescent="0.2">
      <c r="A426" t="s">
        <v>922</v>
      </c>
      <c r="B426">
        <v>425</v>
      </c>
      <c r="C426">
        <v>1</v>
      </c>
      <c r="D426" s="3" t="s">
        <v>303</v>
      </c>
      <c r="F426" s="3" t="s">
        <v>1205</v>
      </c>
      <c r="H426" t="s">
        <v>744</v>
      </c>
      <c r="J426" t="s">
        <v>745</v>
      </c>
      <c r="Q426" t="s">
        <v>1379</v>
      </c>
      <c r="R426">
        <v>500</v>
      </c>
      <c r="S426" t="s">
        <v>86</v>
      </c>
      <c r="T426" t="str">
        <f t="shared" si="13"/>
        <v>500mg</v>
      </c>
      <c r="U426" t="s">
        <v>86</v>
      </c>
      <c r="V426" t="s">
        <v>86</v>
      </c>
      <c r="W426" t="str">
        <f t="shared" si="12"/>
        <v>.</v>
      </c>
      <c r="X426" t="s">
        <v>86</v>
      </c>
      <c r="Y426" t="s">
        <v>86</v>
      </c>
      <c r="Z426" t="s">
        <v>86</v>
      </c>
    </row>
    <row r="427" spans="1:26" x14ac:dyDescent="0.2">
      <c r="A427" t="s">
        <v>922</v>
      </c>
      <c r="B427">
        <v>426</v>
      </c>
      <c r="C427">
        <v>1</v>
      </c>
      <c r="D427" s="3" t="s">
        <v>303</v>
      </c>
      <c r="F427" s="3" t="s">
        <v>1380</v>
      </c>
      <c r="H427" t="s">
        <v>652</v>
      </c>
      <c r="Q427" t="s">
        <v>945</v>
      </c>
      <c r="R427">
        <v>300</v>
      </c>
      <c r="S427" t="s">
        <v>86</v>
      </c>
      <c r="T427" t="str">
        <f t="shared" si="13"/>
        <v>300mg</v>
      </c>
      <c r="U427" t="s">
        <v>86</v>
      </c>
      <c r="V427" t="s">
        <v>86</v>
      </c>
      <c r="W427" t="str">
        <f t="shared" si="12"/>
        <v>.</v>
      </c>
      <c r="X427" t="s">
        <v>86</v>
      </c>
      <c r="Y427" t="s">
        <v>86</v>
      </c>
      <c r="Z427" t="s">
        <v>86</v>
      </c>
    </row>
    <row r="428" spans="1:26" x14ac:dyDescent="0.2">
      <c r="A428" t="s">
        <v>922</v>
      </c>
      <c r="B428">
        <v>427</v>
      </c>
      <c r="C428">
        <v>1</v>
      </c>
      <c r="D428" s="3" t="s">
        <v>303</v>
      </c>
      <c r="F428" s="3" t="s">
        <v>1219</v>
      </c>
      <c r="H428" t="s">
        <v>652</v>
      </c>
      <c r="Q428" t="s">
        <v>1381</v>
      </c>
      <c r="R428">
        <v>300</v>
      </c>
      <c r="S428" t="s">
        <v>86</v>
      </c>
      <c r="T428" t="str">
        <f t="shared" si="13"/>
        <v>300mg</v>
      </c>
      <c r="U428" t="s">
        <v>86</v>
      </c>
      <c r="V428" t="s">
        <v>86</v>
      </c>
      <c r="W428" t="str">
        <f t="shared" si="12"/>
        <v>.</v>
      </c>
      <c r="X428" t="s">
        <v>86</v>
      </c>
      <c r="Y428" t="s">
        <v>86</v>
      </c>
      <c r="Z428" t="s">
        <v>86</v>
      </c>
    </row>
    <row r="429" spans="1:26" x14ac:dyDescent="0.2">
      <c r="A429" t="s">
        <v>922</v>
      </c>
      <c r="B429">
        <v>428</v>
      </c>
      <c r="C429">
        <v>1</v>
      </c>
      <c r="D429" s="3" t="s">
        <v>303</v>
      </c>
      <c r="F429" s="3" t="s">
        <v>1382</v>
      </c>
      <c r="H429" t="s">
        <v>652</v>
      </c>
      <c r="Q429" t="s">
        <v>1381</v>
      </c>
      <c r="R429">
        <v>300</v>
      </c>
      <c r="S429" t="s">
        <v>86</v>
      </c>
      <c r="T429" t="str">
        <f t="shared" si="13"/>
        <v>300mg</v>
      </c>
      <c r="U429" t="s">
        <v>86</v>
      </c>
      <c r="V429" t="s">
        <v>86</v>
      </c>
      <c r="W429" t="str">
        <f t="shared" si="12"/>
        <v>.</v>
      </c>
      <c r="X429" t="s">
        <v>86</v>
      </c>
      <c r="Y429" t="s">
        <v>86</v>
      </c>
      <c r="Z429" t="s">
        <v>86</v>
      </c>
    </row>
    <row r="430" spans="1:26" x14ac:dyDescent="0.2">
      <c r="A430" t="s">
        <v>922</v>
      </c>
      <c r="B430">
        <v>429</v>
      </c>
      <c r="C430">
        <v>1</v>
      </c>
      <c r="D430" s="3" t="s">
        <v>303</v>
      </c>
      <c r="F430" s="3" t="s">
        <v>1382</v>
      </c>
      <c r="H430" t="s">
        <v>652</v>
      </c>
      <c r="Q430" t="s">
        <v>1381</v>
      </c>
      <c r="R430">
        <v>300</v>
      </c>
      <c r="S430" t="s">
        <v>86</v>
      </c>
      <c r="T430" t="str">
        <f t="shared" si="13"/>
        <v>300mg</v>
      </c>
      <c r="U430" t="s">
        <v>86</v>
      </c>
      <c r="V430" t="s">
        <v>86</v>
      </c>
      <c r="W430" t="str">
        <f t="shared" si="12"/>
        <v>.</v>
      </c>
      <c r="X430" t="s">
        <v>86</v>
      </c>
      <c r="Y430" t="s">
        <v>86</v>
      </c>
      <c r="Z430" t="s">
        <v>86</v>
      </c>
    </row>
    <row r="431" spans="1:26" x14ac:dyDescent="0.2">
      <c r="A431" t="s">
        <v>922</v>
      </c>
      <c r="B431">
        <v>430</v>
      </c>
      <c r="C431" t="e">
        <v>#N/A</v>
      </c>
      <c r="D431" s="3" t="s">
        <v>1321</v>
      </c>
      <c r="F431" s="3" t="s">
        <v>1383</v>
      </c>
      <c r="H431" t="s">
        <v>652</v>
      </c>
      <c r="Q431" t="s">
        <v>1384</v>
      </c>
      <c r="R431">
        <v>100</v>
      </c>
      <c r="S431" t="s">
        <v>86</v>
      </c>
      <c r="T431" t="str">
        <f t="shared" si="13"/>
        <v>100mg</v>
      </c>
      <c r="U431" t="s">
        <v>86</v>
      </c>
      <c r="V431" t="s">
        <v>86</v>
      </c>
      <c r="W431" t="str">
        <f t="shared" si="12"/>
        <v>.</v>
      </c>
      <c r="X431" t="s">
        <v>86</v>
      </c>
      <c r="Y431" t="s">
        <v>86</v>
      </c>
      <c r="Z431" t="s">
        <v>86</v>
      </c>
    </row>
    <row r="432" spans="1:26" x14ac:dyDescent="0.2">
      <c r="A432" t="s">
        <v>922</v>
      </c>
      <c r="B432">
        <v>431</v>
      </c>
      <c r="C432">
        <v>1</v>
      </c>
      <c r="D432" s="3" t="s">
        <v>303</v>
      </c>
      <c r="F432" s="3" t="s">
        <v>1383</v>
      </c>
      <c r="H432" t="s">
        <v>652</v>
      </c>
      <c r="Q432" t="s">
        <v>1384</v>
      </c>
      <c r="R432">
        <v>300</v>
      </c>
      <c r="S432" t="s">
        <v>86</v>
      </c>
      <c r="T432" t="str">
        <f t="shared" si="13"/>
        <v>300mg</v>
      </c>
      <c r="U432" t="s">
        <v>86</v>
      </c>
      <c r="V432" t="s">
        <v>86</v>
      </c>
      <c r="W432" t="str">
        <f t="shared" si="12"/>
        <v>.</v>
      </c>
      <c r="X432" t="s">
        <v>86</v>
      </c>
      <c r="Y432" t="s">
        <v>86</v>
      </c>
      <c r="Z432" t="s">
        <v>86</v>
      </c>
    </row>
    <row r="433" spans="1:26" x14ac:dyDescent="0.2">
      <c r="A433" t="s">
        <v>922</v>
      </c>
      <c r="B433">
        <v>432</v>
      </c>
      <c r="C433">
        <v>1</v>
      </c>
      <c r="D433" s="3" t="s">
        <v>303</v>
      </c>
      <c r="F433" s="3" t="s">
        <v>1383</v>
      </c>
      <c r="H433" t="s">
        <v>1385</v>
      </c>
      <c r="Q433" t="s">
        <v>1386</v>
      </c>
      <c r="R433">
        <v>300</v>
      </c>
      <c r="S433" t="s">
        <v>86</v>
      </c>
      <c r="T433" t="str">
        <f t="shared" si="13"/>
        <v>300mg</v>
      </c>
      <c r="U433" t="s">
        <v>86</v>
      </c>
      <c r="V433" t="s">
        <v>86</v>
      </c>
      <c r="W433" t="str">
        <f t="shared" si="12"/>
        <v>.</v>
      </c>
      <c r="X433" t="s">
        <v>86</v>
      </c>
      <c r="Y433" t="s">
        <v>86</v>
      </c>
      <c r="Z433" t="s">
        <v>86</v>
      </c>
    </row>
    <row r="434" spans="1:26" x14ac:dyDescent="0.2">
      <c r="A434" t="s">
        <v>922</v>
      </c>
      <c r="B434">
        <v>433</v>
      </c>
      <c r="C434">
        <v>1</v>
      </c>
      <c r="D434" s="3" t="s">
        <v>303</v>
      </c>
      <c r="F434" s="3" t="s">
        <v>1387</v>
      </c>
      <c r="H434" t="s">
        <v>652</v>
      </c>
      <c r="Q434" t="s">
        <v>1388</v>
      </c>
      <c r="R434">
        <v>100</v>
      </c>
      <c r="S434" t="s">
        <v>86</v>
      </c>
      <c r="T434" t="str">
        <f t="shared" si="13"/>
        <v>100mg</v>
      </c>
      <c r="U434" t="s">
        <v>86</v>
      </c>
      <c r="V434" t="s">
        <v>86</v>
      </c>
      <c r="W434" t="str">
        <f t="shared" si="12"/>
        <v>.</v>
      </c>
      <c r="X434" t="s">
        <v>86</v>
      </c>
      <c r="Y434" t="s">
        <v>86</v>
      </c>
      <c r="Z434" t="s">
        <v>86</v>
      </c>
    </row>
    <row r="435" spans="1:26" x14ac:dyDescent="0.2">
      <c r="A435" t="s">
        <v>922</v>
      </c>
      <c r="B435">
        <v>434</v>
      </c>
      <c r="C435">
        <v>1</v>
      </c>
      <c r="D435" s="3" t="s">
        <v>303</v>
      </c>
      <c r="F435" s="3" t="s">
        <v>1387</v>
      </c>
      <c r="H435" t="s">
        <v>652</v>
      </c>
      <c r="Q435" t="s">
        <v>1388</v>
      </c>
      <c r="R435">
        <v>100</v>
      </c>
      <c r="S435" t="s">
        <v>86</v>
      </c>
      <c r="T435" t="str">
        <f t="shared" si="13"/>
        <v>100mg</v>
      </c>
      <c r="U435" t="s">
        <v>86</v>
      </c>
      <c r="V435" t="s">
        <v>86</v>
      </c>
      <c r="W435" t="str">
        <f t="shared" si="12"/>
        <v>.</v>
      </c>
      <c r="X435" t="s">
        <v>86</v>
      </c>
      <c r="Y435" t="s">
        <v>86</v>
      </c>
      <c r="Z435" t="s">
        <v>86</v>
      </c>
    </row>
    <row r="436" spans="1:26" x14ac:dyDescent="0.2">
      <c r="A436" t="s">
        <v>922</v>
      </c>
      <c r="B436">
        <v>435</v>
      </c>
      <c r="C436">
        <v>1</v>
      </c>
      <c r="D436" s="3" t="s">
        <v>303</v>
      </c>
      <c r="F436" s="3" t="s">
        <v>1387</v>
      </c>
      <c r="H436" t="s">
        <v>652</v>
      </c>
      <c r="Q436" t="s">
        <v>1388</v>
      </c>
      <c r="R436">
        <v>300</v>
      </c>
      <c r="S436" t="s">
        <v>86</v>
      </c>
      <c r="T436" t="str">
        <f t="shared" si="13"/>
        <v>300mg</v>
      </c>
      <c r="U436" t="s">
        <v>86</v>
      </c>
      <c r="V436" t="s">
        <v>86</v>
      </c>
      <c r="W436" t="str">
        <f t="shared" si="12"/>
        <v>.</v>
      </c>
      <c r="X436" t="s">
        <v>86</v>
      </c>
      <c r="Y436" t="s">
        <v>86</v>
      </c>
      <c r="Z436" t="s">
        <v>86</v>
      </c>
    </row>
    <row r="437" spans="1:26" x14ac:dyDescent="0.2">
      <c r="A437" t="s">
        <v>922</v>
      </c>
      <c r="B437">
        <v>436</v>
      </c>
      <c r="C437">
        <v>1</v>
      </c>
      <c r="D437" s="3" t="s">
        <v>303</v>
      </c>
      <c r="F437" s="3" t="s">
        <v>1389</v>
      </c>
      <c r="H437" t="s">
        <v>652</v>
      </c>
      <c r="Q437" t="s">
        <v>1388</v>
      </c>
      <c r="R437">
        <v>100</v>
      </c>
      <c r="S437" t="s">
        <v>86</v>
      </c>
      <c r="T437" t="str">
        <f t="shared" si="13"/>
        <v>100mg</v>
      </c>
      <c r="U437" t="s">
        <v>86</v>
      </c>
      <c r="V437" t="s">
        <v>86</v>
      </c>
      <c r="W437" t="str">
        <f t="shared" si="12"/>
        <v>.</v>
      </c>
      <c r="X437" t="s">
        <v>86</v>
      </c>
      <c r="Y437" t="s">
        <v>86</v>
      </c>
      <c r="Z437" t="s">
        <v>86</v>
      </c>
    </row>
    <row r="438" spans="1:26" x14ac:dyDescent="0.2">
      <c r="A438" t="s">
        <v>922</v>
      </c>
      <c r="B438">
        <v>437</v>
      </c>
      <c r="C438">
        <v>1</v>
      </c>
      <c r="D438" s="3" t="s">
        <v>303</v>
      </c>
      <c r="F438" s="3" t="s">
        <v>847</v>
      </c>
      <c r="H438" t="s">
        <v>618</v>
      </c>
      <c r="J438" t="s">
        <v>619</v>
      </c>
      <c r="Q438" t="s">
        <v>971</v>
      </c>
      <c r="R438">
        <v>40</v>
      </c>
      <c r="S438" t="s">
        <v>86</v>
      </c>
      <c r="T438" t="str">
        <f t="shared" si="13"/>
        <v>40mg</v>
      </c>
      <c r="U438" t="s">
        <v>86</v>
      </c>
      <c r="V438" t="s">
        <v>86</v>
      </c>
      <c r="W438" t="str">
        <f t="shared" si="12"/>
        <v>.</v>
      </c>
      <c r="X438" t="s">
        <v>86</v>
      </c>
      <c r="Y438" t="s">
        <v>86</v>
      </c>
      <c r="Z438" t="s">
        <v>86</v>
      </c>
    </row>
    <row r="439" spans="1:26" x14ac:dyDescent="0.2">
      <c r="A439" t="s">
        <v>922</v>
      </c>
      <c r="B439">
        <v>438</v>
      </c>
      <c r="C439">
        <v>1</v>
      </c>
      <c r="D439" s="3" t="s">
        <v>303</v>
      </c>
      <c r="F439" s="3" t="s">
        <v>847</v>
      </c>
      <c r="H439" t="s">
        <v>618</v>
      </c>
      <c r="J439" t="s">
        <v>619</v>
      </c>
      <c r="Q439" t="s">
        <v>971</v>
      </c>
      <c r="R439">
        <v>80</v>
      </c>
      <c r="S439" t="s">
        <v>86</v>
      </c>
      <c r="T439" t="str">
        <f t="shared" si="13"/>
        <v>80mg</v>
      </c>
      <c r="U439" t="s">
        <v>86</v>
      </c>
      <c r="V439" t="s">
        <v>86</v>
      </c>
      <c r="W439" t="str">
        <f t="shared" si="12"/>
        <v>.</v>
      </c>
      <c r="X439" t="s">
        <v>86</v>
      </c>
      <c r="Y439" t="s">
        <v>86</v>
      </c>
      <c r="Z439" t="s">
        <v>86</v>
      </c>
    </row>
    <row r="440" spans="1:26" x14ac:dyDescent="0.2">
      <c r="A440" t="s">
        <v>922</v>
      </c>
      <c r="B440">
        <v>439</v>
      </c>
      <c r="C440">
        <v>1</v>
      </c>
      <c r="D440" s="3" t="s">
        <v>303</v>
      </c>
      <c r="F440" s="3" t="s">
        <v>1390</v>
      </c>
      <c r="H440" t="s">
        <v>618</v>
      </c>
      <c r="J440" t="s">
        <v>619</v>
      </c>
      <c r="Q440" t="s">
        <v>973</v>
      </c>
      <c r="R440">
        <v>80</v>
      </c>
      <c r="S440" t="s">
        <v>86</v>
      </c>
      <c r="T440" t="str">
        <f t="shared" si="13"/>
        <v>80mg</v>
      </c>
      <c r="U440" t="s">
        <v>86</v>
      </c>
      <c r="V440" t="s">
        <v>86</v>
      </c>
      <c r="W440" t="str">
        <f t="shared" si="12"/>
        <v>.</v>
      </c>
      <c r="X440" t="s">
        <v>86</v>
      </c>
      <c r="Y440" t="s">
        <v>86</v>
      </c>
      <c r="Z440" t="s">
        <v>86</v>
      </c>
    </row>
    <row r="441" spans="1:26" x14ac:dyDescent="0.2">
      <c r="A441" t="s">
        <v>922</v>
      </c>
      <c r="B441">
        <v>440</v>
      </c>
      <c r="C441">
        <v>1</v>
      </c>
      <c r="D441" s="3" t="s">
        <v>303</v>
      </c>
      <c r="F441" s="3" t="s">
        <v>1391</v>
      </c>
      <c r="H441" t="s">
        <v>1392</v>
      </c>
      <c r="J441" t="s">
        <v>1393</v>
      </c>
      <c r="Q441" t="s">
        <v>1394</v>
      </c>
      <c r="R441">
        <v>150</v>
      </c>
      <c r="S441" t="s">
        <v>86</v>
      </c>
      <c r="T441" t="str">
        <f t="shared" si="13"/>
        <v>150mg</v>
      </c>
      <c r="U441" t="s">
        <v>86</v>
      </c>
      <c r="V441" t="s">
        <v>86</v>
      </c>
      <c r="W441" t="str">
        <f t="shared" si="12"/>
        <v>.</v>
      </c>
      <c r="X441" t="s">
        <v>86</v>
      </c>
      <c r="Y441" t="s">
        <v>86</v>
      </c>
      <c r="Z441" t="s">
        <v>86</v>
      </c>
    </row>
    <row r="442" spans="1:26" x14ac:dyDescent="0.2">
      <c r="A442" t="s">
        <v>922</v>
      </c>
      <c r="B442">
        <v>441</v>
      </c>
      <c r="C442" t="e">
        <v>#N/A</v>
      </c>
      <c r="D442" s="3" t="s">
        <v>522</v>
      </c>
      <c r="F442" s="3" t="s">
        <v>1395</v>
      </c>
      <c r="H442" t="s">
        <v>1392</v>
      </c>
      <c r="J442" t="s">
        <v>1393</v>
      </c>
      <c r="Q442" t="s">
        <v>1394</v>
      </c>
      <c r="R442">
        <v>37.5</v>
      </c>
      <c r="S442" t="s">
        <v>86</v>
      </c>
      <c r="T442" t="str">
        <f t="shared" si="13"/>
        <v>37.5mg</v>
      </c>
      <c r="U442" t="s">
        <v>86</v>
      </c>
      <c r="V442" t="s">
        <v>86</v>
      </c>
      <c r="W442" t="str">
        <f t="shared" si="12"/>
        <v>.</v>
      </c>
      <c r="X442" t="s">
        <v>86</v>
      </c>
      <c r="Y442" t="s">
        <v>86</v>
      </c>
      <c r="Z442" t="s">
        <v>86</v>
      </c>
    </row>
    <row r="443" spans="1:26" x14ac:dyDescent="0.2">
      <c r="A443" t="s">
        <v>922</v>
      </c>
      <c r="B443">
        <v>442</v>
      </c>
      <c r="C443" t="e">
        <v>#N/A</v>
      </c>
      <c r="D443" s="3" t="s">
        <v>522</v>
      </c>
      <c r="F443" s="3" t="s">
        <v>1395</v>
      </c>
      <c r="H443" t="s">
        <v>1392</v>
      </c>
      <c r="J443" t="s">
        <v>1393</v>
      </c>
      <c r="Q443" t="s">
        <v>1394</v>
      </c>
      <c r="R443">
        <v>37.5</v>
      </c>
      <c r="S443" t="s">
        <v>86</v>
      </c>
      <c r="T443" t="str">
        <f t="shared" si="13"/>
        <v>37.5mg</v>
      </c>
      <c r="U443" t="s">
        <v>86</v>
      </c>
      <c r="V443" t="s">
        <v>86</v>
      </c>
      <c r="W443" t="str">
        <f t="shared" si="12"/>
        <v>.</v>
      </c>
      <c r="X443" t="s">
        <v>86</v>
      </c>
      <c r="Y443" t="s">
        <v>86</v>
      </c>
      <c r="Z443" t="s">
        <v>86</v>
      </c>
    </row>
    <row r="444" spans="1:26" x14ac:dyDescent="0.2">
      <c r="A444" t="s">
        <v>922</v>
      </c>
      <c r="B444">
        <v>443</v>
      </c>
      <c r="C444" t="e">
        <v>#N/A</v>
      </c>
      <c r="D444" s="3" t="s">
        <v>522</v>
      </c>
      <c r="F444" s="3" t="s">
        <v>1395</v>
      </c>
      <c r="H444" t="s">
        <v>1392</v>
      </c>
      <c r="J444" t="s">
        <v>1393</v>
      </c>
      <c r="Q444" t="s">
        <v>1394</v>
      </c>
      <c r="R444">
        <v>37.5</v>
      </c>
      <c r="S444" t="s">
        <v>86</v>
      </c>
      <c r="T444" t="str">
        <f t="shared" si="13"/>
        <v>37.5mg</v>
      </c>
      <c r="U444" t="s">
        <v>86</v>
      </c>
      <c r="V444" t="s">
        <v>86</v>
      </c>
      <c r="W444" t="str">
        <f t="shared" si="12"/>
        <v>.</v>
      </c>
      <c r="X444" t="s">
        <v>86</v>
      </c>
      <c r="Y444" t="s">
        <v>86</v>
      </c>
      <c r="Z444" t="s">
        <v>86</v>
      </c>
    </row>
    <row r="445" spans="1:26" x14ac:dyDescent="0.2">
      <c r="A445" t="s">
        <v>922</v>
      </c>
      <c r="B445">
        <v>444</v>
      </c>
      <c r="C445">
        <v>1</v>
      </c>
      <c r="D445" s="3" t="s">
        <v>303</v>
      </c>
      <c r="F445" s="3" t="s">
        <v>1241</v>
      </c>
      <c r="H445" t="s">
        <v>618</v>
      </c>
      <c r="J445" t="s">
        <v>619</v>
      </c>
      <c r="Q445" t="s">
        <v>1396</v>
      </c>
      <c r="R445">
        <v>80</v>
      </c>
      <c r="S445" t="s">
        <v>86</v>
      </c>
      <c r="T445" t="str">
        <f t="shared" si="13"/>
        <v>80mg</v>
      </c>
      <c r="U445" t="s">
        <v>86</v>
      </c>
      <c r="V445" t="s">
        <v>86</v>
      </c>
      <c r="W445" t="str">
        <f t="shared" si="12"/>
        <v>.</v>
      </c>
      <c r="X445" t="s">
        <v>86</v>
      </c>
      <c r="Y445" t="s">
        <v>86</v>
      </c>
      <c r="Z445" t="s">
        <v>86</v>
      </c>
    </row>
    <row r="446" spans="1:26" x14ac:dyDescent="0.2">
      <c r="A446" t="s">
        <v>922</v>
      </c>
      <c r="B446">
        <v>445</v>
      </c>
      <c r="C446" t="e">
        <v>#N/A</v>
      </c>
      <c r="D446" s="3" t="s">
        <v>522</v>
      </c>
      <c r="F446" s="3" t="s">
        <v>1397</v>
      </c>
      <c r="H446" t="s">
        <v>618</v>
      </c>
      <c r="J446" t="s">
        <v>619</v>
      </c>
      <c r="Q446" t="s">
        <v>1398</v>
      </c>
      <c r="R446">
        <v>20</v>
      </c>
      <c r="S446" t="s">
        <v>86</v>
      </c>
      <c r="T446" t="str">
        <f t="shared" si="13"/>
        <v>20mg</v>
      </c>
      <c r="U446" t="s">
        <v>86</v>
      </c>
      <c r="V446" t="s">
        <v>86</v>
      </c>
      <c r="W446" t="str">
        <f t="shared" si="12"/>
        <v>.</v>
      </c>
      <c r="X446" t="s">
        <v>86</v>
      </c>
      <c r="Y446" t="s">
        <v>86</v>
      </c>
      <c r="Z446" t="s">
        <v>86</v>
      </c>
    </row>
    <row r="447" spans="1:26" x14ac:dyDescent="0.2">
      <c r="A447" t="s">
        <v>922</v>
      </c>
      <c r="B447">
        <v>446</v>
      </c>
      <c r="C447" t="e">
        <v>#N/A</v>
      </c>
      <c r="D447" s="3" t="s">
        <v>522</v>
      </c>
      <c r="F447" s="3" t="s">
        <v>1397</v>
      </c>
      <c r="H447" t="s">
        <v>618</v>
      </c>
      <c r="J447" t="s">
        <v>619</v>
      </c>
      <c r="Q447" t="s">
        <v>1398</v>
      </c>
      <c r="R447">
        <v>40</v>
      </c>
      <c r="S447" t="s">
        <v>86</v>
      </c>
      <c r="T447" t="str">
        <f t="shared" si="13"/>
        <v>40mg</v>
      </c>
      <c r="U447" t="s">
        <v>86</v>
      </c>
      <c r="V447" t="s">
        <v>86</v>
      </c>
      <c r="W447" t="str">
        <f t="shared" si="12"/>
        <v>.</v>
      </c>
      <c r="X447" t="s">
        <v>86</v>
      </c>
      <c r="Y447" t="s">
        <v>86</v>
      </c>
      <c r="Z447" t="s">
        <v>86</v>
      </c>
    </row>
    <row r="448" spans="1:26" x14ac:dyDescent="0.2">
      <c r="A448" t="s">
        <v>922</v>
      </c>
      <c r="B448">
        <v>447</v>
      </c>
      <c r="C448" t="e">
        <v>#N/A</v>
      </c>
      <c r="D448" s="3" t="s">
        <v>522</v>
      </c>
      <c r="F448" s="3" t="s">
        <v>1397</v>
      </c>
      <c r="H448" t="s">
        <v>618</v>
      </c>
      <c r="J448" t="s">
        <v>619</v>
      </c>
      <c r="Q448" t="s">
        <v>1398</v>
      </c>
      <c r="R448">
        <v>80</v>
      </c>
      <c r="S448" t="s">
        <v>86</v>
      </c>
      <c r="T448" t="str">
        <f t="shared" si="13"/>
        <v>80mg</v>
      </c>
      <c r="U448" t="s">
        <v>86</v>
      </c>
      <c r="V448" t="s">
        <v>86</v>
      </c>
      <c r="W448" t="str">
        <f t="shared" ref="W448:W449" si="14">IF(U448=".",".",IF(V448=".",_xlfn.CONCAT(U448,"mg"),_xlfn.CONCAT(U448,"mg/ ",V448,"ml")))</f>
        <v>.</v>
      </c>
      <c r="X448" t="s">
        <v>86</v>
      </c>
      <c r="Y448" t="s">
        <v>86</v>
      </c>
      <c r="Z448" t="s">
        <v>86</v>
      </c>
    </row>
    <row r="449" spans="1:26" x14ac:dyDescent="0.2">
      <c r="A449" t="s">
        <v>922</v>
      </c>
      <c r="B449">
        <v>448</v>
      </c>
      <c r="C449" t="e">
        <v>#N/A</v>
      </c>
      <c r="D449" s="3" t="s">
        <v>522</v>
      </c>
      <c r="F449" s="3" t="s">
        <v>1399</v>
      </c>
      <c r="H449" t="s">
        <v>618</v>
      </c>
      <c r="J449" t="s">
        <v>619</v>
      </c>
      <c r="Q449" t="s">
        <v>1400</v>
      </c>
      <c r="R449">
        <v>20</v>
      </c>
      <c r="S449" t="s">
        <v>86</v>
      </c>
      <c r="T449" t="str">
        <f t="shared" si="13"/>
        <v>20mg</v>
      </c>
      <c r="U449" t="s">
        <v>86</v>
      </c>
      <c r="V449" t="s">
        <v>86</v>
      </c>
      <c r="W449" t="str">
        <f t="shared" si="14"/>
        <v>.</v>
      </c>
      <c r="X449" t="s">
        <v>86</v>
      </c>
      <c r="Y449" t="s">
        <v>86</v>
      </c>
      <c r="Z449" t="s">
        <v>86</v>
      </c>
    </row>
  </sheetData>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CA194C411A66A43AF5A340052B5B424" ma:contentTypeVersion="17" ma:contentTypeDescription="Create a new document." ma:contentTypeScope="" ma:versionID="3649016989674af317ef4fc009f861e6">
  <xsd:schema xmlns:xsd="http://www.w3.org/2001/XMLSchema" xmlns:xs="http://www.w3.org/2001/XMLSchema" xmlns:p="http://schemas.microsoft.com/office/2006/metadata/properties" xmlns:ns2="1011fb24-49a0-463f-ada9-a8217d0aa252" xmlns:ns3="a72d8ac4-480f-42af-94c3-1b0dbed1eec5" targetNamespace="http://schemas.microsoft.com/office/2006/metadata/properties" ma:root="true" ma:fieldsID="ce701d13bb6f098f04d75cc544fed808" ns2:_="" ns3:_="">
    <xsd:import namespace="1011fb24-49a0-463f-ada9-a8217d0aa252"/>
    <xsd:import namespace="a72d8ac4-480f-42af-94c3-1b0dbed1eec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ORDER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11fb24-49a0-463f-ada9-a8217d0aa2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717fdcf-dbb3-4213-9143-858f321dbc07}" ma:internalName="TaxCatchAll" ma:showField="CatchAllData" ma:web="1011fb24-49a0-463f-ada9-a8217d0aa2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72d8ac4-480f-42af-94c3-1b0dbed1ee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be66e25-6253-4f8b-9755-5684a1ad782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011fb24-49a0-463f-ada9-a8217d0aa252" xsi:nil="true"/>
    <lcf76f155ced4ddcb4097134ff3c332f xmlns="a72d8ac4-480f-42af-94c3-1b0dbed1eec5">
      <Terms xmlns="http://schemas.microsoft.com/office/infopath/2007/PartnerControls"/>
    </lcf76f155ced4ddcb4097134ff3c332f>
    <ORDER0 xmlns="a72d8ac4-480f-42af-94c3-1b0dbed1eec5" xsi:nil="true"/>
  </documentManagement>
</p:properties>
</file>

<file path=customXml/itemProps1.xml><?xml version="1.0" encoding="utf-8"?>
<ds:datastoreItem xmlns:ds="http://schemas.openxmlformats.org/officeDocument/2006/customXml" ds:itemID="{E13D67B8-51F8-4B48-9643-AAFEDA84BD4C}">
  <ds:schemaRefs>
    <ds:schemaRef ds:uri="http://schemas.microsoft.com/sharepoint/v3/contenttype/forms"/>
  </ds:schemaRefs>
</ds:datastoreItem>
</file>

<file path=customXml/itemProps2.xml><?xml version="1.0" encoding="utf-8"?>
<ds:datastoreItem xmlns:ds="http://schemas.openxmlformats.org/officeDocument/2006/customXml" ds:itemID="{F37B3CC8-E4F5-4DF6-BCB5-37187A38CA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11fb24-49a0-463f-ada9-a8217d0aa252"/>
    <ds:schemaRef ds:uri="a72d8ac4-480f-42af-94c3-1b0dbed1ee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673FC6-58FB-4CA0-A2D7-A83B454308EE}">
  <ds:schemaRefs>
    <ds:schemaRef ds:uri="http://www.w3.org/XML/1998/namespace"/>
    <ds:schemaRef ds:uri="http://purl.org/dc/terms/"/>
    <ds:schemaRef ds:uri="a72d8ac4-480f-42af-94c3-1b0dbed1eec5"/>
    <ds:schemaRef ds:uri="http://schemas.microsoft.com/office/2006/documentManagement/types"/>
    <ds:schemaRef ds:uri="http://purl.org/dc/elements/1.1/"/>
    <ds:schemaRef ds:uri="http://schemas.openxmlformats.org/package/2006/metadata/core-properties"/>
    <ds:schemaRef ds:uri="1011fb24-49a0-463f-ada9-a8217d0aa252"/>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codebook &amp; sources</vt:lpstr>
      <vt:lpstr>RDTMASTERLIST</vt:lpstr>
      <vt:lpstr>WHO&amp;GF</vt:lpstr>
      <vt:lpstr>odk example (old)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Stephen</dc:creator>
  <cp:keywords/>
  <dc:description/>
  <cp:lastModifiedBy>Paul Bouanchaud</cp:lastModifiedBy>
  <cp:revision/>
  <dcterms:created xsi:type="dcterms:W3CDTF">2023-05-26T14:19:04Z</dcterms:created>
  <dcterms:modified xsi:type="dcterms:W3CDTF">2025-08-08T10:04:43Z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0x0101001CA194C411A66A43AF5A340052B5B424</vt:lpwstr>
  </property>
  <property fmtid="{D5CDD505-2E9C-101B-9397-08002B2CF9AE}" pid="3" name="MediaServiceImageTags">
    <vt:lpwstr/>
  </property>
</Properties>
</file>